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 name="Buy Today (Oct 19)" sheetId="4" state="visible" r:id="rId6"/>
    <sheet name="Return to ECE Shop"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<sst xmlns="http://schemas.openxmlformats.org/spreadsheetml/2006/main" count="644" uniqueCount="382">
  <si>
    <t xml:space="preserve">Counter-UAS Turret - Bill of Materials (one row per part)</t>
  </si>
  <si>
    <t xml:space="preserve">Updated 2026-10-23. Status: Verified = I opened the live page and saw this price/stock. Needs check = price seen in a search result or unconfirmed detail. Estimate = my guess, no listing. Blue = typed-in input. Qty 0 = not counted in totals. Shipping and tax NOT included.</t>
  </si>
  <si>
    <t xml:space="preserve">ORANGE rows = ECE SHOP LOANS: I must RETURN them (see the Return to ECE Shop tab).  PURPLE rows = from my 2k7 lab kit (free, mine).  Both cost $0 here.</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</si>
  <si>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</si>
  <si>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</si>
  <si>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</si>
  <si>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</si>
  <si>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</si>
  <si>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</si>
  <si>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</si>
  <si>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</si>
  <si>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</si>
  <si>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</si>
  <si>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</si>
  <si>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</si>
  <si>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</si>
  <si>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</si>
  <si>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</si>
  <si>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</si>
  <si>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</si>
  <si>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</si>
  <si>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</si>
  <si>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</si>
  <si>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 NUCLEO-G474RE (OPTIONAL, not counted)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</si>
  <si>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</si>
  <si>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</si>
  <si>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</si>
  <si>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</si>
  <si>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</si>
  <si>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</si>
  <si>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 2026-10-19: the ECE shop loaned me a Nucleo-144 (row below), so I can start motor tests now. That board goes back, so if the shop wants it back before Dec 12, I buy this one. Not counted because I already have a Nucleo.</t>
  </si>
  <si>
    <t xml:space="preserve">Only if I need my own Nucleo</t>
  </si>
  <si>
    <t xml:space="preserve">Only if needed (Digi-Key, 2-3 days)</t>
  </si>
  <si>
    <t xml:space="preserve">Nucleo-144 dev board (ECE shop LOAN)</t>
  </si>
  <si>
    <t xml:space="preserve">STM32 Nucleo-144 with the STM32F746ZG chip, in its black case (the shop's other board was an F413ZH)</t>
  </si>
  <si>
    <t xml:space="preserve">Free: ECE shop (RETURN)</t>
  </si>
  <si>
    <t xml:space="preserve">ECE shop (RETURN)</t>
  </si>
  <si>
    <t xml:space="preserve">n/a</t>
  </si>
  <si>
    <t xml:space="preserve">The shop only had two Nucleo-144 boards. I picked the F746ZG over the F413ZH because it is faster (216 MHz vs 100 MHz) and more people use it, so there are more tutorials. It is free and I have it today, so I can start the motor tests now instead of waiting for a board to ship. It is a loan, so it goes back to the ECE shop.</t>
  </si>
  <si>
    <t xml:space="preserve">RETURN to the ECE shop. In the code project, pick the STM32F746ZG (not the G474 or the H723; the shop catalog's link for it was wrong). The programming port looks like Micro-B in the photo, which matches the Micro-B cable I got. A Nucleo-144 does not plug into a carrier made for the smaller Nucleo-64, so use jumper wires for P1.</t>
  </si>
  <si>
    <t xml:space="preserve">Done Oct 19</t>
  </si>
  <si>
    <t xml:space="preserve">Not buying (loan). Return it to the ECE shop.</t>
  </si>
  <si>
    <t xml:space="preserve">Motion</t>
  </si>
  <si>
    <t xml:space="preserve">Closed-loop motor + driver kit (pan + tilt)</t>
  </si>
  <si>
    <t xml:space="preserve">BIGTREETECH S42C V1.1 + metal cover + motor kit (Octobigtree)</t>
  </si>
  <si>
    <t xml:space="preserve">Received</t>
  </si>
  <si>
    <t xml:space="preserve">Amazon</t>
  </si>
  <si>
    <t xml:space="preserve">Received Oct 23 (ordered Oct 19, Amazon, delivered to Purdue).</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</si>
  <si>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</si>
  <si>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RECEIVED. Motor is included per the listing title ('S42C V1.1 + Metal Protective Cover + Motor'). Listing parameters image (checked Oct 19): motor supply 12-24 V, max current 1650 mA at 12 V, no-load 620 mA at 12 V, Step/Dir input, 14-bit encoder, 2000 rpm max, STM32G031. Two motors can pull about 3.3 A together at max, so set each motor's current near 1 A on the 3 A loan adapter. Power it first at 12 V with about a 1 A current limit. Motor torque is not stated, and the V1.0 manual pinout may differ from V1.1, so read the labels printed on the board. 30-day free returns if a unit is dead (some reviewers report dead units).</t>
  </si>
  <si>
    <t xml:space="preserve">Received Oct 23</t>
  </si>
  <si>
    <t xml:space="preserve">Laser</t>
  </si>
  <si>
    <t xml:space="preserve">Laser module (lock-on indicator)</t>
  </si>
  <si>
    <t xml:space="preserve">WOWOONE 10-pack 650 nm 5 mW red dot laser modules, 5 V, 6 mm brass body, pre-wired (Amazon B0GSQTBGJM)</t>
  </si>
  <si>
    <t xml:space="preserve">Received Oct 23 (ordered Oct 19, Amazon).</t>
  </si>
  <si>
    <t xml:space="preserve">I want the laser in Prototype 1 because I want to see the result of it firing when the model detects. I first picked a Walmart 4-pack, but it would not arrive in time, so I switched to this Amazon 10-pack ($6.69, arrives Wed Oct 21). I chose 5 mW over 1 mW because a 1 mW dot is barely visible, and the dot has to be seen in the demo. 10 modules means spares while I test the wiring.</t>
  </si>
  <si>
    <t xml:space="preserve">RECEIVED. 5 mW = Class 3R. Uses 5 V and about 20 mA, with a resistor built in, so no extra parts. Turn the barrel to focus the dot at the real distance. Best on a white target board in a dim room, 2-5 m away. Never aim at people, pets or shiny surfaces, never look into it. Some units in a pack are dim or poorly focused; test them all. Do not call it Class 2.</t>
  </si>
  <si>
    <t xml:space="preserve">Laser switch (transistor)</t>
  </si>
  <si>
    <t xml:space="preserve">Logic-level N-channel MOSFET: IRLU024N from the ECE shop (2 transistors in the bag; one is a small 3-leg TO-92 part, probably a 2N7000 or 2N2222A, so read the print). Backup: the RFD3055LE logic-level MOSFET in the 2k7 kit.</t>
  </si>
  <si>
    <t xml:space="preserve">ECE shop (RETURN) + 2k7 kit</t>
  </si>
  <si>
    <t xml:space="preserve">An STM32 pin is too weak to power the laser by itself, so this small electronic switch lets the pin turn the laser on and off. The ECE shop gave me the part and my 2k7 kit has a second logic-level MOSFET, so I do not need to buy the $1.80 Digi-Key ones.</t>
  </si>
  <si>
    <t xml:space="preserve">Replaces the 2 x $1.80 Digi-Key order. The laser only draws about 40 mA, so any of these parts works. Ask the desk whether the shop wants small parts like this back.</t>
  </si>
  <si>
    <t xml:space="preserve">Not buying (free)</t>
  </si>
  <si>
    <t xml:space="preserve">Vision</t>
  </si>
  <si>
    <t xml:space="preserve">USB camera (final camera)</t>
  </si>
  <si>
    <t xml:space="preserve">Arducam 1080p HDR autofocus USB camera module, 78 deg diagonal, metal body (ASIN B0FX47YSJQ)</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</si>
  <si>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</si>
  <si>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RECEIVED. Next: check MJPG 1920x1080 at 30 fps is listed (v4l2-ctl --list-formats-ext or OBS); return it if not (30-day free returns). Measure the board, hole spacing and lens height for the CAD mount. Includes a 1 m USB cable with a JST connector.</t>
  </si>
  <si>
    <t xml:space="preserve">Power</t>
  </si>
  <si>
    <t xml:space="preserve">12 V 5 A wall adapter (BACKUP, not counted)</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</si>
  <si>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</si>
  <si>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</si>
  <si>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</si>
  <si>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</si>
  <si>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Not counted while I use the shop's Neewer 12 V 3 A loan. Buy this if the shop needs the Neewer back before Dec 12, or if 3 A keeps shutting off. Check the plug is 5.5x2.1 mm before ordering. Check the plug is 5.5x2.1 mm (the title does not say). The ECE shop may have a 12 V supply you can use.</t>
  </si>
  <si>
    <t xml:space="preserve">Nov 15 (only if the shop wants the Neewer back before the demo, or 3 A is too small)</t>
  </si>
  <si>
    <t xml:space="preserve">Nov 20 at the latest, only if needed (Amazon, 2 days)</t>
  </si>
  <si>
    <t xml:space="preserve">12 V 3 A wall adapter (ECE shop LOAN)</t>
  </si>
  <si>
    <t xml:space="preserve">NEEWER NW-120300D2 power supply: 100-240 V AC in, 12 V DC 3.0 A out, barrel plug, UL listed</t>
  </si>
  <si>
    <t xml:space="preserve">It powers the two motors for P1. 12 V is the motor voltage I picked, and 3 A is enough while I set each motor's current to about 1 A. It is a free loan from the ECE shop, so I do not pay the $11.99 for the 5 A adapter yet.</t>
  </si>
  <si>
    <t xml:space="preserve">RETURN to the ECE shop. The label says output 12 V DC (the AC on the label is the wall side). 3 A is near the limit: two motors can pull about 3.3 A if both stall, so keep each motor's current setting near 1 A. Before connecting: check the plug is 5.5x2.1 mm with the center pin positive (+), and measure about 12 V DC at the plug. The first motor power-up should still use a bench supply set to 12 V with about a 1 A limit, if I can borrow one.</t>
  </si>
  <si>
    <t xml:space="preserve">Barrel jack to screw terminals</t>
  </si>
  <si>
    <t xml:space="preserve">2.1 x 5.5 mm female DC power jack to screw terminal connector, from the 2k7 kit (kit part ELCONN-DCP.ST-M-03)</t>
  </si>
  <si>
    <t xml:space="preserve">Free: 2k7 kit</t>
  </si>
  <si>
    <t xml:space="preserve">2k7 kit</t>
  </si>
  <si>
    <t xml:space="preserve">Lets me plug the wall adapter in and get two plain wires (+ and -) for the breadboard. My 2k7 lab kit already comes with one, so I do not need the $6.99 Amazon 20-pack.</t>
  </si>
  <si>
    <t xml:space="preserve">Replaces the Amazon 20-pack. Check the loan adapter's plug really is 5.5 x 2.1 mm (it fits this jack if so).</t>
  </si>
  <si>
    <t xml:space="preserve">Fuse holder</t>
  </si>
  <si>
    <t xml:space="preserve">XIOGZAXI inline blade fuse holder, 2-pack, 12 AWG, 13.8 in wire, standard (regular) ATC (Amazon B0C9V2SW8K)</t>
  </si>
  <si>
    <t xml:space="preserve">If something shorts, the fuse melts in a fraction of a second and cuts power before wires get hot. This holds the fuse in the power line.</t>
  </si>
  <si>
    <t xml:space="preserve">RECEIVED. 2 holders in the pack, I need 1. The 2 x 30 A fuses that come with it are too big to protect the motors; use a 5 A fuse from the kit for P1. Holder is rated for 30 A, so it also works for the final turret's 15 A fuse.</t>
  </si>
  <si>
    <t xml:space="preserve">Fuse</t>
  </si>
  <si>
    <t xml:space="preserve">AKOSN 55-piece standard ATO/ATC blade fuse assortment, 2 A to 40 A (Amazon B0DNCJRX18)</t>
  </si>
  <si>
    <t xml:space="preserve">Protects the wiring in a short. A 5 A fuse is enough for P1 on the 3 A loan adapter, and 15 A is the final-turret value, above my worst-case peak of about 10 A.</t>
  </si>
  <si>
    <t xml:space="preserve">RECEIVED. 5 A for P1, 15 A for the final turret. If a fuse blows, find out why before replacing it.</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</si>
  <si>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</si>
  <si>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</si>
  <si>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</si>
  <si>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</si>
  <si>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Decided</t>
  </si>
  <si>
    <t xml:space="preserve">Oct 30, in the same Digi-Key order as the PCB parts (a $0.99 part is not worth its own shipping)</t>
  </si>
  <si>
    <t xml:space="preserve">Bulk capacitor</t>
  </si>
  <si>
    <t xml:space="preserve">100 uF 35 V electrolytic x2 from the 2k7 kit (kit part ELCAP-AE-35V-100U-05), used as a stand-in for the 1000 uF</t>
  </si>
  <si>
    <t xml:space="preserve">A small water tank for electricity that smooths the motors' power gulps. The ECE shop's 1000 uF capacitors are only rated 16 V, which is too low for a 12 V rail that can spike, so I use my kit's 100 uF 35 V ones for P1.</t>
  </si>
  <si>
    <t xml:space="preserve">100 uF is ten times smaller than my 1000 uF plan, which is fine for P1 on a current-limited supply because the S42C boards have their own capacitors. For the final turret, buy a 1000 uF 35 V capacitor (fallback: https://www.getfpv.com/black-xt60-lipo-pigtail-w-35v-1000uf-capacitor-12awg-3pcs.html, $10.99). Never use the shop's 16 V ones on the motor rail.</t>
  </si>
  <si>
    <t xml:space="preserve">Wiring</t>
  </si>
  <si>
    <t xml:space="preserve">Breadboard + jumper wires (2k7 kit)</t>
  </si>
  <si>
    <t xml:space="preserve">EurekaLeap 3220 tie-point solderless breadboard with 4 binding posts + 350-piece 22 AWG jumper wire set (both from the 2k7 kit)</t>
  </si>
  <si>
    <t xml:space="preserve">My 2k7 lab kit comes with a big breadboard and a 350-piece jumper wire set, so I do not buy any.</t>
  </si>
  <si>
    <t xml:space="preserve">The binding posts on the board are handy for the 12 V in and ground.</t>
  </si>
  <si>
    <t xml:space="preserve">Resistors (2k7 kit)</t>
  </si>
  <si>
    <t xml:space="preserve">Resistor pack, 1/2 W 1%: 5 of most values, 10 each of 1, 100, 1k, 10k, 100k, 1M (includes 220 ohm and 10k ohm)</t>
  </si>
  <si>
    <t xml:space="preserve">The MOSFET needs a 220 ohm resistor on its gate and a 10k ohm resistor to hold it off. My kit has both, so I do not need the shop's.</t>
  </si>
  <si>
    <t xml:space="preserve">Kit part RES-120-00100-EH.</t>
  </si>
  <si>
    <t xml:space="preserve">Male pin headers (ECE shop)</t>
  </si>
  <si>
    <t xml:space="preserve">Standard single-row male pin header strips (from the shop's drawer 101)</t>
  </si>
  <si>
    <t xml:space="preserve">For connecting the motor driver boards and jumper wires to the breadboard.</t>
  </si>
  <si>
    <t xml:space="preserve">Small parts. Ask the desk whether they want these back.</t>
  </si>
  <si>
    <t xml:space="preserve">Hand tools (2k7 kit)</t>
  </si>
  <si>
    <t xml:space="preserve">Multi-purpose crimp / strip / cut tool (14-24 AWG), pocket 1/8 in screwdriver, banana-plug test leads, clamp</t>
  </si>
  <si>
    <t xml:space="preserve">The kit's tool strips and cuts wire, so I do not borrow wire strippers. The small screwdriver fits terminal screws.</t>
  </si>
  <si>
    <t xml:space="preserve">Kit parts ELTOOL-WCS-YTH-5022-01, ELACC-TSCREWDRIVER-C-01, ELCAB-BNTPL-RB-36i-01.</t>
  </si>
  <si>
    <t xml:space="preserve">USB cable: USB-A to Micro-B (ECE shop LOAN)</t>
  </si>
  <si>
    <t xml:space="preserve">USB data cable with a USB-A plug on one end and a Micro-B plug on the other (from my photos), black braided</t>
  </si>
  <si>
    <t xml:space="preserve">The Nucleo's programming port looks like Micro-B. The shop gave me a cable that matches it, so I do not need to buy one.</t>
  </si>
  <si>
    <t xml:space="preserve">RETURN to the ECE shop. Test it: plug it into the Nucleo and my laptop. If the board lights up but the laptop sees nothing new, it is charge-only. It plugs straight into my laptop's USB-A port.</t>
  </si>
  <si>
    <t xml:space="preserve">USB cable: USB-A to USB-C (ECE shop LOAN)</t>
  </si>
  <si>
    <t xml:space="preserve">USB cable with a USB-A plug and a USB-C plug, black braided (from my photos)</t>
  </si>
  <si>
    <t xml:space="preserve">A second cable from the shop. Free, so I keep it as a spare.</t>
  </si>
  <si>
    <t xml:space="preserve">RETURN to the ECE shop. My laptop has both USB-A and USB-C ports, so this is just a spare.</t>
  </si>
  <si>
    <t xml:space="preserve">Mechanical</t>
  </si>
  <si>
    <t xml:space="preserve">Screws, standoffs, fasteners</t>
  </si>
  <si>
    <t xml:space="preserve">M3 screw assortment (motor mounts are M3 on NEMA 17) plus whatever your CAD needs</t>
  </si>
  <si>
    <t xml:space="preserve">Estimate</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</si>
  <si>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</si>
  <si>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</si>
  <si>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</si>
  <si>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</si>
  <si>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</si>
  <si>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</si>
  <si>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</si>
  <si>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</si>
  <si>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</si>
  <si>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</si>
  <si>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Not in my Oct 19 photos, so I still need to borrow one. Bench supply: use a ~1 A current limit for the first motor power-up. The 2k7 kit has banana-plug test leads but no meter.</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</si>
  <si>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</si>
  <si>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</si>
  <si>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</si>
  <si>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</si>
  <si>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</si>
  <si>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</si>
  <si>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</si>
  <si>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</si>
  <si>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</si>
  <si>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</si>
  <si>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</si>
  <si>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</si>
  <si>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</si>
  <si>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</si>
  <si>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</si>
  <si>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</si>
  <si>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</si>
  <si>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</si>
  <si>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</si>
  <si>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</si>
  <si>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</si>
  <si>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</si>
  <si>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</si>
  <si>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</si>
  <si>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</si>
  <si>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</si>
  <si>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</si>
  <si>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</si>
  <si>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</si>
  <si>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</si>
  <si>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</si>
  <si>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</si>
  <si>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</si>
  <si>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</si>
  <si>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</si>
  <si>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</si>
  <si>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</si>
  <si>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</si>
  <si>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</si>
  <si>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</si>
  <si>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</si>
  <si>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</si>
  <si>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</si>
  <si>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</si>
  <si>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 My 2k7 kit also has 1N5819 Schottky diodes (a possible reverse-polarity part) and spare resistors.</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</si>
  <si>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</si>
  <si>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</si>
  <si>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</si>
  <si>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</si>
  <si>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</si>
  <si>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</si>
  <si>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</si>
  <si>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</si>
  <si>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</si>
  <si>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</si>
  <si>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</si>
  <si>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</si>
  <si>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</si>
  <si>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</si>
  <si>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</si>
  <si>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</si>
  <si>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</si>
  <si>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</si>
  <si>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</si>
  <si>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</si>
  <si>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</si>
  <si>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</si>
  <si>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</si>
  <si>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</si>
  <si>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</si>
  <si>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</si>
  <si>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</si>
  <si>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</si>
  <si>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</si>
  <si>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</si>
  <si>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</si>
  <si>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</si>
  <si>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</si>
  <si>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</si>
  <si>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</si>
  <si>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</si>
  <si>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</si>
  <si>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</si>
  <si>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</si>
  <si>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</si>
  <si>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</si>
  <si>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</si>
  <si>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</si>
  <si>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</si>
  <si>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</si>
  <si>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</si>
  <si>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</si>
  <si>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</si>
  <si>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</si>
  <si>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</si>
  <si>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</si>
  <si>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</si>
  <si>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</si>
  <si>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</si>
  <si>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</si>
  <si>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</si>
  <si>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</si>
  <si>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</si>
  <si>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</si>
  <si>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</si>
  <si>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</si>
  <si>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</si>
  <si>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</si>
  <si>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</si>
  <si>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</si>
  <si>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</si>
  <si>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</si>
  <si>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</si>
  <si>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</si>
  <si>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</si>
  <si>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</si>
  <si>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</si>
  <si>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</si>
  <si>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</si>
  <si>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</si>
  <si>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</si>
  <si>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</si>
  <si>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</si>
  <si>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</si>
  <si>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</si>
  <si>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</si>
  <si>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</si>
  <si>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</si>
  <si>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</si>
  <si>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</si>
  <si>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G474 dev board, laser, camera, fuse, TVS. ECE shop loans and 2k7 kit parts are $0.</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</si>
  <si>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</si>
  <si>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</si>
  <si>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</si>
  <si>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</si>
  <si>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</si>
  <si>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</si>
  <si>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</si>
  <si>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</si>
  <si>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</si>
  <si>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</si>
  <si>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</si>
  <si>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</si>
  <si>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</si>
  <si>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</si>
  <si>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</si>
  <si>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</si>
  <si>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</si>
  <si>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</si>
  <si>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</si>
  <si>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</si>
  <si>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</si>
  <si>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 or already received.</t>
  </si>
  <si>
    <t xml:space="preserve">What the ECE shop and my 2k7 kit covered</t>
  </si>
  <si>
    <t xml:space="preserve">- Got free on Oct 19 (return the ECE shop ones): Nucleo-144 F746ZG loan, Neewer 12 V 3 A adapter, 2 USB cables, pin headers, 2 transistors</t>
  </si>
  <si>
    <t xml:space="preserve">- From my 2k7 kit: breadboard, jumper wires, resistors, DC jack with screw terminals, 100 uF caps, hand tool</t>
  </si>
  <si>
    <t xml:space="preserve">- Replaced Oct 17 items: 12 V 5 A adapter ($11.99, now a backup), barrel jack 20-pack ($6.99), 2 MOSFETs ($3.60)</t>
  </si>
  <si>
    <t xml:space="preserve">- Still not free: S42C motor kits, Arducam, laser pack, fuse + holder, TVS, G474 Nucleo, screws, PCB, Pi parts</t>
  </si>
  <si>
    <t xml:space="preserve">I opened the live product page and saw this price and stock.</t>
  </si>
  <si>
    <t xml:space="preserve">Received (green)</t>
  </si>
  <si>
    <t xml:space="preserve">Ordered and delivered. Price is what I actually paid.</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</si>
  <si>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</si>
  <si>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</si>
  <si>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</si>
  <si>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</si>
  <si>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</si>
  <si>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</si>
  <si>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</si>
  <si>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</si>
  <si>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Free: 2k7 kit (purple)</t>
  </si>
  <si>
    <t xml:space="preserve">Comes in my ECE 2k7 lab kit. Costs $0 and I keep it.</t>
  </si>
  <si>
    <t xml:space="preserve">Free: ECE shop (orange)</t>
  </si>
  <si>
    <t xml:space="preserve">Loan from the ECE shop. Costs $0 but I must RETURN it. See the Return to ECE Shop tab.</t>
  </si>
  <si>
    <t xml:space="preserve">Safety</t>
  </si>
  <si>
    <t xml:space="preserve">The laser is only a lock-on indicator. Never aim it at people, pets or shiny surfaces.</t>
  </si>
  <si>
    <t xml:space="preserve">What I bought on Mon Oct 19, 2026 (all received Oct 23)</t>
  </si>
  <si>
    <t xml:space="preserve">Everything else for Prototype 1 is free: ECE shop loans (return them) and my 2k7 kit. Prices are from the BOM tab.</t>
  </si>
  <si>
    <t xml:space="preserve">ORDERED OCT 19 AND RECEIVED OCT 23 (Amazon order total was $128.02 with $8.38 tax)</t>
  </si>
  <si>
    <t xml:space="preserve">Done</t>
  </si>
  <si>
    <t xml:space="preserve">Item</t>
  </si>
  <si>
    <t xml:space="preserve">Unit ($)</t>
  </si>
  <si>
    <t xml:space="preserve">Ext ($)</t>
  </si>
  <si>
    <t xml:space="preserve">Notes</t>
  </si>
  <si>
    <t xml:space="preserve">☑</t>
  </si>
  <si>
    <t xml:space="preserve">BIGTREETECH S42C closed-loop motor + driver kit (pan + tilt)</t>
  </si>
  <si>
    <t xml:space="preserve">Received. Needed for the Oct 26 motor test. The kit includes the motor. 30-day free returns.</t>
  </si>
  <si>
    <t xml:space="preserve">Arducam 1080p autofocus USB camera</t>
  </si>
  <si>
    <t xml:space="preserve">Received. Check MJPG 1920x1080 at 30 fps is listed (v4l2-ctl or OBS); return it if not.</t>
  </si>
  <si>
    <t xml:space="preserve">WOWOONE 5 mW red laser 10-pack</t>
  </si>
  <si>
    <t xml:space="preserve">Received. Test every unit; some are dim. Never aim at people, pets or shiny surfaces.</t>
  </si>
  <si>
    <t xml:space="preserve">XIOGZAXI inline fuse holder, 2-pack (12 AWG, regular ATC)</t>
  </si>
  <si>
    <t xml:space="preserve">Received. Use only 1; the second is a spare.</t>
  </si>
  <si>
    <t xml:space="preserve">AKOSN 55-piece ATC fuse kit (2-40 A)</t>
  </si>
  <si>
    <t xml:space="preserve">Received. 5 A for P1, 15 A for the final turret.</t>
  </si>
  <si>
    <t xml:space="preserve">TOTAL (before tax)</t>
  </si>
  <si>
    <t xml:space="preserve">DIGI-KEY - with the Oct 30 PCB-parts order (one order, so shipping is paid once)</t>
  </si>
  <si>
    <t xml:space="preserve">☐</t>
  </si>
  <si>
    <t xml:space="preserve">Littelfuse SMCJ15A spike protector (TVS diode)</t>
  </si>
  <si>
    <t xml:space="preserve">A $0.99 part, so it rides in the same Digi-Key order as the PCB parts on Oct 30. The first bench power-up uses a current limit, so it can wait.</t>
  </si>
  <si>
    <t xml:space="preserve">DIGI-KEY ORDER TOTAL (before shipping)</t>
  </si>
  <si>
    <t xml:space="preserve">LATER / ONLY IF NEEDED (not today)</t>
  </si>
  <si>
    <t xml:space="preserve">Screws, standoffs, fasteners (placeholder)</t>
  </si>
  <si>
    <t xml:space="preserve">Order by Oct 26, after the CAD is done. Must arrive before Nov 2.</t>
  </si>
  <si>
    <t xml:space="preserve">STMicroelectronics NUCLEO-G474RE (only if the shop wants its Nucleo back)</t>
  </si>
  <si>
    <t xml:space="preserve">Not needed while I have the shop's loan. Only if the shop wants it back before Dec 12.</t>
  </si>
  <si>
    <t xml:space="preserve">12 V 5 A wall adapter (backup)</t>
  </si>
  <si>
    <t xml:space="preserve">Only if the shop wants the Neewer back before Dec 12, or 3 A is too small. Check the plug size first.</t>
  </si>
  <si>
    <t xml:space="preserve">LATER TOTAL (if everything here is needed)</t>
  </si>
  <si>
    <t xml:space="preserve">Pi 5 parts and the PCB come later: Pi order by Nov 10, PCB order target Oct 30 (hard limit Nov 1). 5 V module choice is parked until about Oct 24.</t>
  </si>
  <si>
    <t xml:space="preserve">RETURN THESE TO THE ECE SHOP</t>
  </si>
  <si>
    <t xml:space="preserve">Everything on this list is a loan from the Purdue ECE shop. It is not mine. Bring it back when I am done.</t>
  </si>
  <si>
    <t xml:space="preserve">Shop questions: eceshop@purdue.edu. Ask the front desk how long the loan lasts and write the date in the last column. The demo is Dec 12.</t>
  </si>
  <si>
    <t xml:space="preserve">Returned</t>
  </si>
  <si>
    <t xml:space="preserve">What it is for</t>
  </si>
  <si>
    <t xml:space="preserve">Return by (ask the desk)</t>
  </si>
  <si>
    <t xml:space="preserve">STM32 Nucleo-144 dev board with STM32F746ZG, in its black case</t>
  </si>
  <si>
    <t xml:space="preserve">Motor brain for Prototype 1 (the test setup)</t>
  </si>
  <si>
    <t xml:space="preserve">Return the case too. Do not solder to it.</t>
  </si>
  <si>
    <t xml:space="preserve">NEEWER NW-120300D2 12 V 3 A power supply (with AC cord)</t>
  </si>
  <si>
    <t xml:space="preserve">Powers the motors</t>
  </si>
  <si>
    <t xml:space="preserve">Has a barrel plug. Return the plug end and the AC cord.</t>
  </si>
  <si>
    <t xml:space="preserve">USB cable, USB-A to Micro-B (black braided)</t>
  </si>
  <si>
    <t xml:space="preserve">Programs the Nucleo from my laptop</t>
  </si>
  <si>
    <t xml:space="preserve">USB cable, USB-A to USB-C (black braided)</t>
  </si>
  <si>
    <t xml:space="preserve">Spare / laptop connection</t>
  </si>
  <si>
    <t xml:space="preserve">Male pin headers (bag of strips)</t>
  </si>
  <si>
    <t xml:space="preserve">Breadboard connections</t>
  </si>
  <si>
    <t xml:space="preserve">Small parts: ask the desk whether they want these back.</t>
  </si>
  <si>
    <t xml:space="preserve">Transistors (2 in a static bag: IRLU024N + a small TO-92 part)</t>
  </si>
  <si>
    <t xml:space="preserve">Laser switch</t>
  </si>
  <si>
    <t xml:space="preserve">NOT a loan: from my 2k7 lab kit (mine, nothing to return)</t>
  </si>
  <si>
    <t xml:space="preserve">EurekaLeap 3220 breadboard with binding posts</t>
  </si>
  <si>
    <t xml:space="preserve">350-piece 22 AWG jumper wire set</t>
  </si>
  <si>
    <t xml:space="preserve">Resistor pack (220 ohm, 10k ohm and more)</t>
  </si>
  <si>
    <t xml:space="preserve">2.1 x 5.5 mm DC jack with screw terminals</t>
  </si>
  <si>
    <t xml:space="preserve">100 uF 35 V capacitors (x2) and RFD3055LE logic-level MOSFET</t>
  </si>
  <si>
    <t xml:space="preserve">Multi-purpose strip/crimp tool, pocket screwdriver, banana test leads</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</si>
</sst>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
      <b val="true"/>
      <sz val="18"/>
      <color rgb="FFC00000"/>
      <name val="Arial"/>
      <family val="0"/>
      <charset val="1"/>
    </font>
    <font>
      <b val="true"/>
      <sz val="11"/>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4DFEC"/>
      </patternFill>
    </fill>
    <fill>
      <patternFill patternType="solid">
        <fgColor rgb="FFFFFF99"/>
        <bgColor rgb="FFFCE4D6"/>
      </patternFill>
    </fill>
    <fill>
      <patternFill patternType="solid">
        <fgColor rgb="FFFCE4D6"/>
        <bgColor rgb="FFE4DFEC"/>
      </patternFill>
    </fill>
    <fill>
      <patternFill patternType="solid">
        <fgColor rgb="FFE2EFDA"/>
        <bgColor rgb="FFE4DFEC"/>
      </patternFill>
    </fill>
    <fill>
      <patternFill patternType="solid">
        <fgColor rgb="FFE4DFEC"/>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5" fontId="10"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top" textRotation="0" wrapText="true" indent="0" shrinkToFit="false"/>
      <protection locked="true" hidden="false"/>
    </xf>
    <xf numFmtId="165" fontId="10"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center"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top" textRotation="0" wrapText="true" indent="0" shrinkToFit="false"/>
      <protection locked="true" hidden="false"/>
    </xf>
    <xf numFmtId="165" fontId="10" fillId="7" borderId="1" xfId="0" applyFont="true" applyBorder="true" applyAlignment="true" applyProtection="false">
      <alignment horizontal="general" vertical="top" textRotation="0" wrapText="true" indent="0" shrinkToFit="false"/>
      <protection locked="true" hidden="false"/>
    </xf>
    <xf numFmtId="165" fontId="9" fillId="7"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4DFEC"/>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amazon.com/dp/B0GSQTBGJM" TargetMode="External"/><Relationship Id="rId4" Type="http://schemas.openxmlformats.org/officeDocument/2006/relationships/hyperlink" Target="https://www.amazon.com/dp/B0FX47YSJQ" TargetMode="External"/><Relationship Id="rId5" Type="http://schemas.openxmlformats.org/officeDocument/2006/relationships/hyperlink" Target="https://www.amazon.com/dp/B0711Q5B49" TargetMode="External"/><Relationship Id="rId6" Type="http://schemas.openxmlformats.org/officeDocument/2006/relationships/hyperlink" Target="https://www.amazon.com/dp/B0C9V2SW8K" TargetMode="External"/><Relationship Id="rId7" Type="http://schemas.openxmlformats.org/officeDocument/2006/relationships/hyperlink" Target="https://www.amazon.com/dp/B0DNCJRX18" TargetMode="External"/><Relationship Id="rId8" Type="http://schemas.openxmlformats.org/officeDocument/2006/relationships/hyperlink" Target="https://www.digikey.com/en/products/detail/littelfuse-inc/SMCJ15A/762382" TargetMode="External"/><Relationship Id="rId9" Type="http://schemas.openxmlformats.org/officeDocument/2006/relationships/hyperlink" Target="https://www.digikey.com/en/products/result?keywords=STM32G474RET6" TargetMode="External"/><Relationship Id="rId10" Type="http://schemas.openxmlformats.org/officeDocument/2006/relationships/hyperlink" Target="https://www.pololu.com/product/2851" TargetMode="External"/><Relationship Id="rId11" Type="http://schemas.openxmlformats.org/officeDocument/2006/relationships/hyperlink" Target="https://www.aliexpress.us/item/3256809254781510.html" TargetMode="External"/><Relationship Id="rId12" Type="http://schemas.openxmlformats.org/officeDocument/2006/relationships/hyperlink" Target="https://www.canakit.com/raspberry-pi-5-8gb.html" TargetMode="External"/><Relationship Id="rId13" Type="http://schemas.openxmlformats.org/officeDocument/2006/relationships/hyperlink" Target="https://www.amazon.com/dp/B0CLV6WB4L" TargetMode="External"/><Relationship Id="rId14" Type="http://schemas.openxmlformats.org/officeDocument/2006/relationships/hyperlink" Target="https://www.canakit.com/raspberry-pi-5-active-cooler.html" TargetMode="External"/><Relationship Id="rId15" Type="http://schemas.openxmlformats.org/officeDocument/2006/relationships/hyperlink" Target="https://www.amazon.com/dp/B07S214S5Y" TargetMode="External"/><Relationship Id="rId16" Type="http://schemas.openxmlformats.org/officeDocument/2006/relationships/hyperlink" Target="https://www.waveshare.com/product/psu-12.6v2a-5.5-2.1-eu.htm" TargetMode="External"/><Relationship Id="rId17" Type="http://schemas.openxmlformats.org/officeDocument/2006/relationships/hyperlink" Target="https://www.pololu.com/product/2813" TargetMode="External"/><Relationship Id="rId18" Type="http://schemas.openxmlformats.org/officeDocument/2006/relationships/hyperlink" Target="https://www.amazon.com/dp/B00PNEQKC0" TargetMode="External"/><Relationship Id="rId19" Type="http://schemas.openxmlformats.org/officeDocument/2006/relationships/hyperlink" Target="https://www.amazon.com/dp/B07ZPV4HF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amazon.com/dp/B09LHFS2HF" TargetMode="External"/><Relationship Id="rId2" Type="http://schemas.openxmlformats.org/officeDocument/2006/relationships/hyperlink" Target="https://www.amazon.com/dp/B0FX47YSJQ" TargetMode="External"/><Relationship Id="rId3" Type="http://schemas.openxmlformats.org/officeDocument/2006/relationships/hyperlink" Target="https://www.amazon.com/dp/B0GSQTBGJM" TargetMode="External"/><Relationship Id="rId4" Type="http://schemas.openxmlformats.org/officeDocument/2006/relationships/hyperlink" Target="https://www.amazon.com/dp/B0C9V2SW8K" TargetMode="External"/><Relationship Id="rId5" Type="http://schemas.openxmlformats.org/officeDocument/2006/relationships/hyperlink" Target="https://www.amazon.com/dp/B0DNCJRX18" TargetMode="External"/><Relationship Id="rId6" Type="http://schemas.openxmlformats.org/officeDocument/2006/relationships/hyperlink" Target="https://www.digikey.com/en/products/detail/littelfuse-inc/SMCJ15A/762382" TargetMode="External"/><Relationship Id="rId7" Type="http://schemas.openxmlformats.org/officeDocument/2006/relationships/hyperlink" Target="https://www.digikey.com/en/products/detail/stmicroelectronics/NUCLEO-G474RE/10231585" TargetMode="External"/><Relationship Id="rId8" Type="http://schemas.openxmlformats.org/officeDocument/2006/relationships/hyperlink" Target="https://www.amazon.com/dp/B0711Q5B4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30"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row>
    <row r="5" customFormat="false" ht="19.5" hidden="false" customHeight="true" outlineLevel="0" collapsed="false">
      <c r="A5" s="5" t="s">
        <v>21</v>
      </c>
      <c r="B5" s="5"/>
      <c r="C5" s="5"/>
      <c r="D5" s="5"/>
      <c r="E5" s="5"/>
      <c r="F5" s="5"/>
      <c r="G5" s="5"/>
      <c r="H5" s="5"/>
      <c r="I5" s="5"/>
      <c r="J5" s="5"/>
      <c r="K5" s="5"/>
      <c r="L5" s="5"/>
      <c r="M5" s="5"/>
      <c r="N5" s="5"/>
      <c r="O5" s="5"/>
      <c r="P5" s="5"/>
      <c r="Q5" s="5"/>
      <c r="R5" s="5"/>
    </row>
    <row r="6" customFormat="false" ht="103.5" hidden="false" customHeight="true" outlineLevel="0" collapsed="false">
      <c r="A6" s="6" t="n">
        <v>1</v>
      </c>
      <c r="B6" s="7" t="s">
        <v>22</v>
      </c>
      <c r="C6" s="7" t="s">
        <v>23</v>
      </c>
      <c r="D6" s="7" t="s">
        <v>24</v>
      </c>
      <c r="E6" s="8" t="n">
        <v>0</v>
      </c>
      <c r="F6" s="6" t="s">
        <v>25</v>
      </c>
      <c r="G6" s="6" t="s">
        <v>26</v>
      </c>
      <c r="H6" s="9" t="n">
        <v>20.13</v>
      </c>
      <c r="I6" s="10" t="n">
        <f aca="false">IF(H6="","",E6*H6)</f>
        <v>0</v>
      </c>
      <c r="J6" s="7" t="s">
        <v>27</v>
      </c>
      <c r="K6" s="11" t="s">
        <v>13</v>
      </c>
      <c r="L6" s="7" t="s">
        <v>28</v>
      </c>
      <c r="M6" s="7" t="s">
        <v>29</v>
      </c>
      <c r="N6" s="12"/>
      <c r="O6" s="12"/>
      <c r="P6" s="7" t="s">
        <v>30</v>
      </c>
      <c r="Q6" s="7" t="s">
        <v>31</v>
      </c>
      <c r="R6" s="7" t="s">
        <v>32</v>
      </c>
    </row>
    <row r="7" customFormat="false" ht="78" hidden="false" customHeight="true" outlineLevel="0" collapsed="false">
      <c r="A7" s="13" t="n">
        <v>2</v>
      </c>
      <c r="B7" s="14" t="s">
        <v>22</v>
      </c>
      <c r="C7" s="14" t="s">
        <v>33</v>
      </c>
      <c r="D7" s="14" t="s">
        <v>34</v>
      </c>
      <c r="E7" s="15" t="n">
        <v>1</v>
      </c>
      <c r="F7" s="13" t="s">
        <v>25</v>
      </c>
      <c r="G7" s="13" t="s">
        <v>35</v>
      </c>
      <c r="H7" s="16" t="n">
        <v>0</v>
      </c>
      <c r="I7" s="17" t="n">
        <f aca="false">IF(H7="","",E7*H7)</f>
        <v>0</v>
      </c>
      <c r="J7" s="14" t="s">
        <v>36</v>
      </c>
      <c r="K7" s="14"/>
      <c r="L7" s="14" t="s">
        <v>37</v>
      </c>
      <c r="M7" s="14" t="s">
        <v>38</v>
      </c>
      <c r="N7" s="12"/>
      <c r="O7" s="12"/>
      <c r="P7" s="14" t="s">
        <v>39</v>
      </c>
      <c r="Q7" s="14" t="s">
        <v>40</v>
      </c>
      <c r="R7" s="14" t="s">
        <v>41</v>
      </c>
    </row>
    <row r="8" customFormat="false" ht="156" hidden="false" customHeight="true" outlineLevel="0" collapsed="false">
      <c r="A8" s="18" t="n">
        <v>3</v>
      </c>
      <c r="B8" s="19" t="s">
        <v>42</v>
      </c>
      <c r="C8" s="19" t="s">
        <v>43</v>
      </c>
      <c r="D8" s="19" t="s">
        <v>44</v>
      </c>
      <c r="E8" s="20" t="n">
        <v>2</v>
      </c>
      <c r="F8" s="18" t="s">
        <v>25</v>
      </c>
      <c r="G8" s="18" t="s">
        <v>45</v>
      </c>
      <c r="H8" s="21" t="n">
        <v>39.99</v>
      </c>
      <c r="I8" s="22" t="n">
        <f aca="false">IF(H8="","",E8*H8)</f>
        <v>79.98</v>
      </c>
      <c r="J8" s="19" t="s">
        <v>46</v>
      </c>
      <c r="K8" s="23" t="s">
        <v>13</v>
      </c>
      <c r="L8" s="19" t="s">
        <v>47</v>
      </c>
      <c r="M8" s="19" t="s">
        <v>48</v>
      </c>
      <c r="N8" s="12"/>
      <c r="O8" s="12"/>
      <c r="P8" s="19" t="s">
        <v>49</v>
      </c>
      <c r="Q8" s="19" t="s">
        <v>40</v>
      </c>
      <c r="R8" s="19" t="s">
        <v>50</v>
      </c>
    </row>
    <row r="9" customFormat="false" ht="90.75" hidden="false" customHeight="true" outlineLevel="0" collapsed="false">
      <c r="A9" s="18" t="n">
        <v>4</v>
      </c>
      <c r="B9" s="19" t="s">
        <v>51</v>
      </c>
      <c r="C9" s="19" t="s">
        <v>52</v>
      </c>
      <c r="D9" s="19" t="s">
        <v>53</v>
      </c>
      <c r="E9" s="20" t="n">
        <v>1</v>
      </c>
      <c r="F9" s="18" t="s">
        <v>25</v>
      </c>
      <c r="G9" s="18" t="s">
        <v>45</v>
      </c>
      <c r="H9" s="21" t="n">
        <v>6.69</v>
      </c>
      <c r="I9" s="22" t="n">
        <f aca="false">IF(H9="","",E9*H9)</f>
        <v>6.69</v>
      </c>
      <c r="J9" s="19" t="s">
        <v>46</v>
      </c>
      <c r="K9" s="23" t="s">
        <v>13</v>
      </c>
      <c r="L9" s="19" t="s">
        <v>54</v>
      </c>
      <c r="M9" s="19" t="s">
        <v>55</v>
      </c>
      <c r="N9" s="12"/>
      <c r="O9" s="12"/>
      <c r="P9" s="19" t="s">
        <v>56</v>
      </c>
      <c r="Q9" s="19" t="s">
        <v>40</v>
      </c>
      <c r="R9" s="19" t="s">
        <v>50</v>
      </c>
    </row>
    <row r="10" customFormat="false" ht="78" hidden="false" customHeight="true" outlineLevel="0" collapsed="false">
      <c r="A10" s="13" t="n">
        <v>5</v>
      </c>
      <c r="B10" s="14" t="s">
        <v>51</v>
      </c>
      <c r="C10" s="14" t="s">
        <v>57</v>
      </c>
      <c r="D10" s="14" t="s">
        <v>58</v>
      </c>
      <c r="E10" s="15" t="n">
        <v>2</v>
      </c>
      <c r="F10" s="13" t="s">
        <v>25</v>
      </c>
      <c r="G10" s="13" t="s">
        <v>35</v>
      </c>
      <c r="H10" s="16" t="n">
        <v>0</v>
      </c>
      <c r="I10" s="17" t="n">
        <f aca="false">IF(H10="","",E10*H10)</f>
        <v>0</v>
      </c>
      <c r="J10" s="14" t="s">
        <v>59</v>
      </c>
      <c r="K10" s="14"/>
      <c r="L10" s="14" t="s">
        <v>28</v>
      </c>
      <c r="M10" s="14" t="s">
        <v>60</v>
      </c>
      <c r="N10" s="12"/>
      <c r="O10" s="12"/>
      <c r="P10" s="14" t="s">
        <v>61</v>
      </c>
      <c r="Q10" s="14" t="s">
        <v>40</v>
      </c>
      <c r="R10" s="14" t="s">
        <v>62</v>
      </c>
    </row>
    <row r="11" customFormat="false" ht="117" hidden="false" customHeight="true" outlineLevel="0" collapsed="false">
      <c r="A11" s="18" t="n">
        <v>6</v>
      </c>
      <c r="B11" s="19" t="s">
        <v>63</v>
      </c>
      <c r="C11" s="19" t="s">
        <v>64</v>
      </c>
      <c r="D11" s="19" t="s">
        <v>65</v>
      </c>
      <c r="E11" s="20" t="n">
        <v>1</v>
      </c>
      <c r="F11" s="18" t="s">
        <v>25</v>
      </c>
      <c r="G11" s="18" t="s">
        <v>45</v>
      </c>
      <c r="H11" s="21" t="n">
        <v>19.99</v>
      </c>
      <c r="I11" s="22" t="n">
        <f aca="false">IF(H11="","",E11*H11)</f>
        <v>19.99</v>
      </c>
      <c r="J11" s="19" t="s">
        <v>46</v>
      </c>
      <c r="K11" s="23" t="s">
        <v>13</v>
      </c>
      <c r="L11" s="19" t="s">
        <v>54</v>
      </c>
      <c r="M11" s="19" t="s">
        <v>66</v>
      </c>
      <c r="N11" s="12"/>
      <c r="O11" s="12"/>
      <c r="P11" s="19" t="s">
        <v>67</v>
      </c>
      <c r="Q11" s="19" t="s">
        <v>40</v>
      </c>
      <c r="R11" s="19" t="s">
        <v>50</v>
      </c>
    </row>
    <row r="12" customFormat="false" ht="78" hidden="false" customHeight="true" outlineLevel="0" collapsed="false">
      <c r="A12" s="6" t="n">
        <v>7</v>
      </c>
      <c r="B12" s="7" t="s">
        <v>68</v>
      </c>
      <c r="C12" s="7" t="s">
        <v>69</v>
      </c>
      <c r="D12" s="7" t="s">
        <v>70</v>
      </c>
      <c r="E12" s="8" t="n">
        <v>0</v>
      </c>
      <c r="F12" s="6" t="s">
        <v>25</v>
      </c>
      <c r="G12" s="6" t="s">
        <v>71</v>
      </c>
      <c r="H12" s="9" t="n">
        <v>11.99</v>
      </c>
      <c r="I12" s="10" t="n">
        <f aca="false">IF(H12="","",E12*H12)</f>
        <v>0</v>
      </c>
      <c r="J12" s="7" t="s">
        <v>46</v>
      </c>
      <c r="K12" s="11" t="s">
        <v>13</v>
      </c>
      <c r="L12" s="7" t="s">
        <v>72</v>
      </c>
      <c r="M12" s="7" t="s">
        <v>73</v>
      </c>
      <c r="N12" s="12"/>
      <c r="O12" s="12"/>
      <c r="P12" s="7" t="s">
        <v>74</v>
      </c>
      <c r="Q12" s="7" t="s">
        <v>75</v>
      </c>
      <c r="R12" s="7" t="s">
        <v>76</v>
      </c>
    </row>
    <row r="13" customFormat="false" ht="103.5" hidden="false" customHeight="true" outlineLevel="0" collapsed="false">
      <c r="A13" s="13" t="n">
        <v>8</v>
      </c>
      <c r="B13" s="14" t="s">
        <v>68</v>
      </c>
      <c r="C13" s="14" t="s">
        <v>77</v>
      </c>
      <c r="D13" s="14" t="s">
        <v>78</v>
      </c>
      <c r="E13" s="15" t="n">
        <v>1</v>
      </c>
      <c r="F13" s="13" t="s">
        <v>25</v>
      </c>
      <c r="G13" s="13" t="s">
        <v>35</v>
      </c>
      <c r="H13" s="16" t="n">
        <v>0</v>
      </c>
      <c r="I13" s="17" t="n">
        <f aca="false">IF(H13="","",E13*H13)</f>
        <v>0</v>
      </c>
      <c r="J13" s="14" t="s">
        <v>36</v>
      </c>
      <c r="K13" s="14"/>
      <c r="L13" s="14" t="s">
        <v>37</v>
      </c>
      <c r="M13" s="14" t="s">
        <v>79</v>
      </c>
      <c r="N13" s="12"/>
      <c r="O13" s="12"/>
      <c r="P13" s="14" t="s">
        <v>80</v>
      </c>
      <c r="Q13" s="14" t="s">
        <v>40</v>
      </c>
      <c r="R13" s="14" t="s">
        <v>41</v>
      </c>
    </row>
    <row r="14" customFormat="false" ht="45" hidden="false" customHeight="true" outlineLevel="0" collapsed="false">
      <c r="A14" s="24" t="n">
        <v>9</v>
      </c>
      <c r="B14" s="25" t="s">
        <v>68</v>
      </c>
      <c r="C14" s="25" t="s">
        <v>81</v>
      </c>
      <c r="D14" s="25" t="s">
        <v>82</v>
      </c>
      <c r="E14" s="26" t="n">
        <v>1</v>
      </c>
      <c r="F14" s="24" t="s">
        <v>25</v>
      </c>
      <c r="G14" s="24" t="s">
        <v>83</v>
      </c>
      <c r="H14" s="27" t="n">
        <v>0</v>
      </c>
      <c r="I14" s="28" t="n">
        <f aca="false">IF(H14="","",E14*H14)</f>
        <v>0</v>
      </c>
      <c r="J14" s="25" t="s">
        <v>84</v>
      </c>
      <c r="K14" s="25"/>
      <c r="L14" s="25" t="s">
        <v>37</v>
      </c>
      <c r="M14" s="25" t="s">
        <v>85</v>
      </c>
      <c r="N14" s="12"/>
      <c r="O14" s="12"/>
      <c r="P14" s="25" t="s">
        <v>86</v>
      </c>
      <c r="Q14" s="25" t="s">
        <v>40</v>
      </c>
      <c r="R14" s="25" t="s">
        <v>62</v>
      </c>
    </row>
    <row r="15" customFormat="false" ht="64.5" hidden="false" customHeight="true" outlineLevel="0" collapsed="false">
      <c r="A15" s="18" t="n">
        <v>10</v>
      </c>
      <c r="B15" s="19" t="s">
        <v>68</v>
      </c>
      <c r="C15" s="19" t="s">
        <v>87</v>
      </c>
      <c r="D15" s="19" t="s">
        <v>88</v>
      </c>
      <c r="E15" s="20" t="n">
        <v>1</v>
      </c>
      <c r="F15" s="18" t="s">
        <v>25</v>
      </c>
      <c r="G15" s="18" t="s">
        <v>45</v>
      </c>
      <c r="H15" s="21" t="n">
        <v>5.99</v>
      </c>
      <c r="I15" s="22" t="n">
        <f aca="false">IF(H15="","",E15*H15)</f>
        <v>5.99</v>
      </c>
      <c r="J15" s="19" t="s">
        <v>46</v>
      </c>
      <c r="K15" s="23" t="s">
        <v>13</v>
      </c>
      <c r="L15" s="19" t="s">
        <v>54</v>
      </c>
      <c r="M15" s="19" t="s">
        <v>89</v>
      </c>
      <c r="N15" s="12"/>
      <c r="O15" s="12"/>
      <c r="P15" s="19" t="s">
        <v>90</v>
      </c>
      <c r="Q15" s="19" t="s">
        <v>40</v>
      </c>
      <c r="R15" s="19" t="s">
        <v>50</v>
      </c>
    </row>
    <row r="16" customFormat="false" ht="45" hidden="false" customHeight="true" outlineLevel="0" collapsed="false">
      <c r="A16" s="18" t="n">
        <v>11</v>
      </c>
      <c r="B16" s="19" t="s">
        <v>68</v>
      </c>
      <c r="C16" s="19" t="s">
        <v>91</v>
      </c>
      <c r="D16" s="19" t="s">
        <v>92</v>
      </c>
      <c r="E16" s="20" t="n">
        <v>1</v>
      </c>
      <c r="F16" s="18" t="s">
        <v>25</v>
      </c>
      <c r="G16" s="18" t="s">
        <v>45</v>
      </c>
      <c r="H16" s="21" t="n">
        <v>6.99</v>
      </c>
      <c r="I16" s="22" t="n">
        <f aca="false">IF(H16="","",E16*H16)</f>
        <v>6.99</v>
      </c>
      <c r="J16" s="19" t="s">
        <v>46</v>
      </c>
      <c r="K16" s="23" t="s">
        <v>13</v>
      </c>
      <c r="L16" s="19" t="s">
        <v>54</v>
      </c>
      <c r="M16" s="19" t="s">
        <v>93</v>
      </c>
      <c r="N16" s="12"/>
      <c r="O16" s="12"/>
      <c r="P16" s="19" t="s">
        <v>94</v>
      </c>
      <c r="Q16" s="19" t="s">
        <v>40</v>
      </c>
      <c r="R16" s="19" t="s">
        <v>50</v>
      </c>
    </row>
    <row r="17" customFormat="false" ht="51.75" hidden="false" customHeight="true" outlineLevel="0" collapsed="false">
      <c r="A17" s="6" t="n">
        <v>12</v>
      </c>
      <c r="B17" s="7" t="s">
        <v>68</v>
      </c>
      <c r="C17" s="7" t="s">
        <v>95</v>
      </c>
      <c r="D17" s="7" t="s">
        <v>96</v>
      </c>
      <c r="E17" s="8" t="n">
        <v>1</v>
      </c>
      <c r="F17" s="6" t="s">
        <v>25</v>
      </c>
      <c r="G17" s="6" t="s">
        <v>71</v>
      </c>
      <c r="H17" s="9" t="n">
        <v>0.99</v>
      </c>
      <c r="I17" s="10" t="n">
        <f aca="false">IF(H17="","",E17*H17)</f>
        <v>0.99</v>
      </c>
      <c r="J17" s="7" t="s">
        <v>27</v>
      </c>
      <c r="K17" s="11" t="s">
        <v>13</v>
      </c>
      <c r="L17" s="7" t="s">
        <v>28</v>
      </c>
      <c r="M17" s="7" t="s">
        <v>97</v>
      </c>
      <c r="N17" s="12"/>
      <c r="O17" s="12"/>
      <c r="P17" s="7" t="s">
        <v>98</v>
      </c>
      <c r="Q17" s="7" t="s">
        <v>99</v>
      </c>
      <c r="R17" s="7" t="s">
        <v>100</v>
      </c>
    </row>
    <row r="18" customFormat="false" ht="90.75" hidden="false" customHeight="true" outlineLevel="0" collapsed="false">
      <c r="A18" s="24" t="n">
        <v>13</v>
      </c>
      <c r="B18" s="25" t="s">
        <v>68</v>
      </c>
      <c r="C18" s="25" t="s">
        <v>101</v>
      </c>
      <c r="D18" s="25" t="s">
        <v>102</v>
      </c>
      <c r="E18" s="26" t="n">
        <v>2</v>
      </c>
      <c r="F18" s="24" t="s">
        <v>25</v>
      </c>
      <c r="G18" s="24" t="s">
        <v>83</v>
      </c>
      <c r="H18" s="27" t="n">
        <v>0</v>
      </c>
      <c r="I18" s="28" t="n">
        <f aca="false">IF(H18="","",E18*H18)</f>
        <v>0</v>
      </c>
      <c r="J18" s="25" t="s">
        <v>84</v>
      </c>
      <c r="K18" s="25"/>
      <c r="L18" s="25" t="s">
        <v>37</v>
      </c>
      <c r="M18" s="25" t="s">
        <v>103</v>
      </c>
      <c r="N18" s="12"/>
      <c r="O18" s="12"/>
      <c r="P18" s="25" t="s">
        <v>104</v>
      </c>
      <c r="Q18" s="25" t="s">
        <v>40</v>
      </c>
      <c r="R18" s="25" t="s">
        <v>62</v>
      </c>
    </row>
    <row r="19" customFormat="false" ht="51.75" hidden="false" customHeight="true" outlineLevel="0" collapsed="false">
      <c r="A19" s="24" t="n">
        <v>14</v>
      </c>
      <c r="B19" s="25" t="s">
        <v>105</v>
      </c>
      <c r="C19" s="25" t="s">
        <v>106</v>
      </c>
      <c r="D19" s="25" t="s">
        <v>107</v>
      </c>
      <c r="E19" s="26" t="n">
        <v>1</v>
      </c>
      <c r="F19" s="24" t="s">
        <v>25</v>
      </c>
      <c r="G19" s="24" t="s">
        <v>83</v>
      </c>
      <c r="H19" s="27" t="n">
        <v>0</v>
      </c>
      <c r="I19" s="28" t="n">
        <f aca="false">IF(H19="","",E19*H19)</f>
        <v>0</v>
      </c>
      <c r="J19" s="25" t="s">
        <v>84</v>
      </c>
      <c r="K19" s="25"/>
      <c r="L19" s="25" t="s">
        <v>37</v>
      </c>
      <c r="M19" s="25" t="s">
        <v>108</v>
      </c>
      <c r="N19" s="12"/>
      <c r="O19" s="12"/>
      <c r="P19" s="25" t="s">
        <v>109</v>
      </c>
      <c r="Q19" s="25" t="s">
        <v>40</v>
      </c>
      <c r="R19" s="25" t="s">
        <v>62</v>
      </c>
    </row>
    <row r="20" customFormat="false" ht="45" hidden="false" customHeight="true" outlineLevel="0" collapsed="false">
      <c r="A20" s="24" t="n">
        <v>15</v>
      </c>
      <c r="B20" s="25" t="s">
        <v>105</v>
      </c>
      <c r="C20" s="25" t="s">
        <v>110</v>
      </c>
      <c r="D20" s="25" t="s">
        <v>111</v>
      </c>
      <c r="E20" s="26" t="n">
        <v>1</v>
      </c>
      <c r="F20" s="24" t="s">
        <v>25</v>
      </c>
      <c r="G20" s="24" t="s">
        <v>83</v>
      </c>
      <c r="H20" s="27" t="n">
        <v>0</v>
      </c>
      <c r="I20" s="28" t="n">
        <f aca="false">IF(H20="","",E20*H20)</f>
        <v>0</v>
      </c>
      <c r="J20" s="25" t="s">
        <v>84</v>
      </c>
      <c r="K20" s="25"/>
      <c r="L20" s="25" t="s">
        <v>37</v>
      </c>
      <c r="M20" s="25" t="s">
        <v>112</v>
      </c>
      <c r="N20" s="12"/>
      <c r="O20" s="12"/>
      <c r="P20" s="25" t="s">
        <v>113</v>
      </c>
      <c r="Q20" s="25" t="s">
        <v>40</v>
      </c>
      <c r="R20" s="25" t="s">
        <v>62</v>
      </c>
    </row>
    <row r="21" customFormat="false" ht="45" hidden="false" customHeight="true" outlineLevel="0" collapsed="false">
      <c r="A21" s="13" t="n">
        <v>16</v>
      </c>
      <c r="B21" s="14" t="s">
        <v>105</v>
      </c>
      <c r="C21" s="14" t="s">
        <v>114</v>
      </c>
      <c r="D21" s="14" t="s">
        <v>115</v>
      </c>
      <c r="E21" s="15" t="n">
        <v>1</v>
      </c>
      <c r="F21" s="13" t="s">
        <v>25</v>
      </c>
      <c r="G21" s="13" t="s">
        <v>35</v>
      </c>
      <c r="H21" s="16" t="n">
        <v>0</v>
      </c>
      <c r="I21" s="17" t="n">
        <f aca="false">IF(H21="","",E21*H21)</f>
        <v>0</v>
      </c>
      <c r="J21" s="14" t="s">
        <v>36</v>
      </c>
      <c r="K21" s="14"/>
      <c r="L21" s="14" t="s">
        <v>37</v>
      </c>
      <c r="M21" s="14" t="s">
        <v>116</v>
      </c>
      <c r="N21" s="12"/>
      <c r="O21" s="12"/>
      <c r="P21" s="14" t="s">
        <v>117</v>
      </c>
      <c r="Q21" s="14" t="s">
        <v>40</v>
      </c>
      <c r="R21" s="14" t="s">
        <v>62</v>
      </c>
    </row>
    <row r="22" customFormat="false" ht="45" hidden="false" customHeight="true" outlineLevel="0" collapsed="false">
      <c r="A22" s="24" t="n">
        <v>17</v>
      </c>
      <c r="B22" s="25" t="s">
        <v>105</v>
      </c>
      <c r="C22" s="25" t="s">
        <v>118</v>
      </c>
      <c r="D22" s="25" t="s">
        <v>119</v>
      </c>
      <c r="E22" s="26" t="n">
        <v>1</v>
      </c>
      <c r="F22" s="24" t="s">
        <v>25</v>
      </c>
      <c r="G22" s="24" t="s">
        <v>83</v>
      </c>
      <c r="H22" s="27" t="n">
        <v>0</v>
      </c>
      <c r="I22" s="28" t="n">
        <f aca="false">IF(H22="","",E22*H22)</f>
        <v>0</v>
      </c>
      <c r="J22" s="25" t="s">
        <v>84</v>
      </c>
      <c r="K22" s="25"/>
      <c r="L22" s="25" t="s">
        <v>37</v>
      </c>
      <c r="M22" s="25" t="s">
        <v>120</v>
      </c>
      <c r="N22" s="12"/>
      <c r="O22" s="12"/>
      <c r="P22" s="25" t="s">
        <v>121</v>
      </c>
      <c r="Q22" s="25" t="s">
        <v>40</v>
      </c>
      <c r="R22" s="25" t="s">
        <v>62</v>
      </c>
    </row>
    <row r="23" customFormat="false" ht="51.75" hidden="false" customHeight="true" outlineLevel="0" collapsed="false">
      <c r="A23" s="13" t="n">
        <v>18</v>
      </c>
      <c r="B23" s="14" t="s">
        <v>105</v>
      </c>
      <c r="C23" s="14" t="s">
        <v>122</v>
      </c>
      <c r="D23" s="14" t="s">
        <v>123</v>
      </c>
      <c r="E23" s="15" t="n">
        <v>1</v>
      </c>
      <c r="F23" s="13" t="s">
        <v>25</v>
      </c>
      <c r="G23" s="13" t="s">
        <v>35</v>
      </c>
      <c r="H23" s="16" t="n">
        <v>0</v>
      </c>
      <c r="I23" s="17" t="n">
        <f aca="false">IF(H23="","",E23*H23)</f>
        <v>0</v>
      </c>
      <c r="J23" s="14" t="s">
        <v>36</v>
      </c>
      <c r="K23" s="14"/>
      <c r="L23" s="14" t="s">
        <v>37</v>
      </c>
      <c r="M23" s="14" t="s">
        <v>124</v>
      </c>
      <c r="N23" s="12"/>
      <c r="O23" s="12"/>
      <c r="P23" s="14" t="s">
        <v>125</v>
      </c>
      <c r="Q23" s="14" t="s">
        <v>40</v>
      </c>
      <c r="R23" s="14" t="s">
        <v>62</v>
      </c>
    </row>
    <row r="24" customFormat="false" ht="45" hidden="false" customHeight="true" outlineLevel="0" collapsed="false">
      <c r="A24" s="13" t="n">
        <v>19</v>
      </c>
      <c r="B24" s="14" t="s">
        <v>105</v>
      </c>
      <c r="C24" s="14" t="s">
        <v>126</v>
      </c>
      <c r="D24" s="14" t="s">
        <v>127</v>
      </c>
      <c r="E24" s="15" t="n">
        <v>1</v>
      </c>
      <c r="F24" s="13" t="s">
        <v>25</v>
      </c>
      <c r="G24" s="13" t="s">
        <v>35</v>
      </c>
      <c r="H24" s="16" t="n">
        <v>0</v>
      </c>
      <c r="I24" s="17" t="n">
        <f aca="false">IF(H24="","",E24*H24)</f>
        <v>0</v>
      </c>
      <c r="J24" s="14" t="s">
        <v>36</v>
      </c>
      <c r="K24" s="14"/>
      <c r="L24" s="14" t="s">
        <v>37</v>
      </c>
      <c r="M24" s="14" t="s">
        <v>128</v>
      </c>
      <c r="N24" s="12"/>
      <c r="O24" s="12"/>
      <c r="P24" s="14" t="s">
        <v>129</v>
      </c>
      <c r="Q24" s="14" t="s">
        <v>40</v>
      </c>
      <c r="R24" s="14" t="s">
        <v>62</v>
      </c>
    </row>
    <row r="25" customFormat="false" ht="45" hidden="false" customHeight="true" outlineLevel="0" collapsed="false">
      <c r="A25" s="6" t="n">
        <v>20</v>
      </c>
      <c r="B25" s="7" t="s">
        <v>130</v>
      </c>
      <c r="C25" s="7" t="s">
        <v>131</v>
      </c>
      <c r="D25" s="7" t="s">
        <v>132</v>
      </c>
      <c r="E25" s="8" t="n">
        <v>1</v>
      </c>
      <c r="F25" s="6" t="s">
        <v>25</v>
      </c>
      <c r="G25" s="6" t="s">
        <v>133</v>
      </c>
      <c r="H25" s="9" t="n">
        <v>15</v>
      </c>
      <c r="I25" s="10" t="n">
        <f aca="false">IF(H25="","",E25*H25)</f>
        <v>15</v>
      </c>
      <c r="J25" s="7" t="s">
        <v>134</v>
      </c>
      <c r="K25" s="7"/>
      <c r="L25" s="7" t="s">
        <v>37</v>
      </c>
      <c r="M25" s="7" t="s">
        <v>135</v>
      </c>
      <c r="N25" s="12"/>
      <c r="O25" s="12"/>
      <c r="P25" s="7" t="s">
        <v>136</v>
      </c>
      <c r="Q25" s="7" t="s">
        <v>137</v>
      </c>
      <c r="R25" s="7" t="s">
        <v>138</v>
      </c>
    </row>
    <row r="26" customFormat="false" ht="51.75" hidden="false" customHeight="true" outlineLevel="0" collapsed="false">
      <c r="A26" s="6" t="n">
        <v>21</v>
      </c>
      <c r="B26" s="7" t="s">
        <v>139</v>
      </c>
      <c r="C26" s="7" t="s">
        <v>140</v>
      </c>
      <c r="D26" s="7" t="s">
        <v>141</v>
      </c>
      <c r="E26" s="8" t="n">
        <v>0</v>
      </c>
      <c r="F26" s="6" t="s">
        <v>25</v>
      </c>
      <c r="G26" s="6" t="s">
        <v>142</v>
      </c>
      <c r="H26" s="9" t="n">
        <v>0</v>
      </c>
      <c r="I26" s="10" t="n">
        <f aca="false">IF(H26="","",E26*H26)</f>
        <v>0</v>
      </c>
      <c r="J26" s="7" t="s">
        <v>37</v>
      </c>
      <c r="K26" s="7"/>
      <c r="L26" s="7" t="s">
        <v>37</v>
      </c>
      <c r="M26" s="7" t="s">
        <v>143</v>
      </c>
      <c r="N26" s="12"/>
      <c r="O26" s="12"/>
      <c r="P26" s="7" t="s">
        <v>144</v>
      </c>
      <c r="Q26" s="7"/>
      <c r="R26" s="7"/>
    </row>
    <row r="27" customFormat="false" ht="19.5" hidden="false" customHeight="true" outlineLevel="0" collapsed="false">
      <c r="A27" s="29"/>
      <c r="B27" s="29"/>
      <c r="C27" s="30" t="s">
        <v>145</v>
      </c>
      <c r="D27" s="29"/>
      <c r="E27" s="29"/>
      <c r="F27" s="29"/>
      <c r="G27" s="29"/>
      <c r="H27" s="29"/>
      <c r="I27" s="31" t="n">
        <f aca="false">SUMIFS($I$5:$I$26,$F$5:$F$26,"P1")</f>
        <v>135.63</v>
      </c>
      <c r="J27" s="29"/>
      <c r="K27" s="29"/>
      <c r="L27" s="29"/>
      <c r="M27" s="29"/>
      <c r="N27" s="29"/>
      <c r="O27" s="29"/>
      <c r="P27" s="29"/>
      <c r="Q27" s="29"/>
      <c r="R27" s="29"/>
    </row>
    <row r="28" customFormat="false" ht="19.5" hidden="false" customHeight="true" outlineLevel="0" collapsed="false">
      <c r="A28" s="5" t="s">
        <v>146</v>
      </c>
      <c r="B28" s="5"/>
      <c r="C28" s="5"/>
      <c r="D28" s="5"/>
      <c r="E28" s="5"/>
      <c r="F28" s="5"/>
      <c r="G28" s="5"/>
      <c r="H28" s="5"/>
      <c r="I28" s="5"/>
      <c r="J28" s="5"/>
      <c r="K28" s="5"/>
      <c r="L28" s="5"/>
      <c r="M28" s="5"/>
      <c r="N28" s="5"/>
      <c r="O28" s="5"/>
      <c r="P28" s="5"/>
      <c r="Q28" s="5"/>
      <c r="R28" s="5"/>
    </row>
    <row r="29" customFormat="false" ht="64.5" hidden="false" customHeight="true" outlineLevel="0" collapsed="false">
      <c r="A29" s="6" t="n">
        <v>22</v>
      </c>
      <c r="B29" s="7" t="s">
        <v>147</v>
      </c>
      <c r="C29" s="7" t="s">
        <v>148</v>
      </c>
      <c r="D29" s="7" t="s">
        <v>149</v>
      </c>
      <c r="E29" s="8" t="n">
        <v>0</v>
      </c>
      <c r="F29" s="6" t="s">
        <v>147</v>
      </c>
      <c r="G29" s="6" t="s">
        <v>150</v>
      </c>
      <c r="H29" s="9"/>
      <c r="I29" s="10" t="str">
        <f aca="false">IF(H29="","",E29*H29)</f>
        <v/>
      </c>
      <c r="J29" s="7" t="s">
        <v>37</v>
      </c>
      <c r="K29" s="7"/>
      <c r="L29" s="7" t="s">
        <v>37</v>
      </c>
      <c r="M29" s="7" t="s">
        <v>151</v>
      </c>
      <c r="N29" s="12"/>
      <c r="O29" s="12"/>
      <c r="P29" s="7" t="s">
        <v>152</v>
      </c>
      <c r="Q29" s="7" t="s">
        <v>153</v>
      </c>
      <c r="R29" s="7" t="s">
        <v>37</v>
      </c>
    </row>
    <row r="30" customFormat="false" ht="64.5" hidden="false" customHeight="true" outlineLevel="0" collapsed="false">
      <c r="A30" s="6" t="n">
        <v>23</v>
      </c>
      <c r="B30" s="7" t="s">
        <v>147</v>
      </c>
      <c r="C30" s="7" t="s">
        <v>154</v>
      </c>
      <c r="D30" s="7" t="s">
        <v>155</v>
      </c>
      <c r="E30" s="8" t="n">
        <v>1</v>
      </c>
      <c r="F30" s="6" t="s">
        <v>147</v>
      </c>
      <c r="G30" s="6" t="s">
        <v>133</v>
      </c>
      <c r="H30" s="9" t="n">
        <v>25</v>
      </c>
      <c r="I30" s="10" t="n">
        <f aca="false">IF(H30="","",E30*H30)</f>
        <v>25</v>
      </c>
      <c r="J30" s="7" t="s">
        <v>156</v>
      </c>
      <c r="K30" s="7"/>
      <c r="L30" s="7" t="s">
        <v>157</v>
      </c>
      <c r="M30" s="7" t="s">
        <v>158</v>
      </c>
      <c r="N30" s="12"/>
      <c r="O30" s="12"/>
      <c r="P30" s="7" t="s">
        <v>159</v>
      </c>
      <c r="Q30" s="7" t="s">
        <v>160</v>
      </c>
      <c r="R30" s="7" t="s">
        <v>161</v>
      </c>
    </row>
    <row r="31" customFormat="false" ht="64.5" hidden="false" customHeight="true" outlineLevel="0" collapsed="false">
      <c r="A31" s="6" t="n">
        <v>24</v>
      </c>
      <c r="B31" s="7" t="s">
        <v>147</v>
      </c>
      <c r="C31" s="7" t="s">
        <v>162</v>
      </c>
      <c r="D31" s="7" t="s">
        <v>163</v>
      </c>
      <c r="E31" s="8" t="n">
        <v>0</v>
      </c>
      <c r="F31" s="6" t="s">
        <v>147</v>
      </c>
      <c r="G31" s="6" t="s">
        <v>71</v>
      </c>
      <c r="H31" s="9" t="n">
        <v>10.7</v>
      </c>
      <c r="I31" s="10" t="n">
        <f aca="false">IF(H31="","",E31*H31)</f>
        <v>0</v>
      </c>
      <c r="J31" s="7" t="s">
        <v>27</v>
      </c>
      <c r="K31" s="11" t="s">
        <v>13</v>
      </c>
      <c r="L31" s="7" t="s">
        <v>164</v>
      </c>
      <c r="M31" s="7" t="s">
        <v>165</v>
      </c>
      <c r="N31" s="12"/>
      <c r="O31" s="12"/>
      <c r="P31" s="7" t="s">
        <v>166</v>
      </c>
      <c r="Q31" s="7" t="s">
        <v>167</v>
      </c>
      <c r="R31" s="7" t="s">
        <v>168</v>
      </c>
    </row>
    <row r="32" customFormat="false" ht="64.5" hidden="false" customHeight="true" outlineLevel="0" collapsed="false">
      <c r="A32" s="6" t="n">
        <v>25</v>
      </c>
      <c r="B32" s="7" t="s">
        <v>147</v>
      </c>
      <c r="C32" s="7" t="s">
        <v>169</v>
      </c>
      <c r="D32" s="7" t="s">
        <v>170</v>
      </c>
      <c r="E32" s="8" t="n">
        <v>1</v>
      </c>
      <c r="F32" s="6" t="s">
        <v>147</v>
      </c>
      <c r="G32" s="6" t="s">
        <v>26</v>
      </c>
      <c r="H32" s="9" t="n">
        <v>32.95</v>
      </c>
      <c r="I32" s="10" t="n">
        <f aca="false">IF(H32="","",E32*H32)</f>
        <v>32.95</v>
      </c>
      <c r="J32" s="7" t="s">
        <v>171</v>
      </c>
      <c r="K32" s="11" t="s">
        <v>13</v>
      </c>
      <c r="L32" s="7" t="s">
        <v>172</v>
      </c>
      <c r="M32" s="7" t="s">
        <v>173</v>
      </c>
      <c r="N32" s="12"/>
      <c r="O32" s="12"/>
      <c r="P32" s="7" t="s">
        <v>174</v>
      </c>
      <c r="Q32" s="7" t="s">
        <v>175</v>
      </c>
      <c r="R32" s="7" t="s">
        <v>176</v>
      </c>
    </row>
    <row r="33" customFormat="false" ht="78" hidden="false" customHeight="true" outlineLevel="0" collapsed="false">
      <c r="A33" s="6" t="n">
        <v>26</v>
      </c>
      <c r="B33" s="7" t="s">
        <v>147</v>
      </c>
      <c r="C33" s="7" t="s">
        <v>177</v>
      </c>
      <c r="D33" s="7" t="s">
        <v>178</v>
      </c>
      <c r="E33" s="8" t="n">
        <v>0</v>
      </c>
      <c r="F33" s="6" t="s">
        <v>147</v>
      </c>
      <c r="G33" s="6" t="s">
        <v>71</v>
      </c>
      <c r="H33" s="9" t="n">
        <v>5.24</v>
      </c>
      <c r="I33" s="10" t="n">
        <f aca="false">IF(H33="","",E33*H33)</f>
        <v>0</v>
      </c>
      <c r="J33" s="7" t="s">
        <v>179</v>
      </c>
      <c r="K33" s="11" t="s">
        <v>13</v>
      </c>
      <c r="L33" s="7" t="s">
        <v>180</v>
      </c>
      <c r="M33" s="7" t="s">
        <v>181</v>
      </c>
      <c r="N33" s="12"/>
      <c r="O33" s="12"/>
      <c r="P33" s="7" t="s">
        <v>182</v>
      </c>
      <c r="Q33" s="7" t="s">
        <v>183</v>
      </c>
      <c r="R33" s="7" t="s">
        <v>184</v>
      </c>
    </row>
    <row r="34" customFormat="false" ht="45" hidden="false" customHeight="true" outlineLevel="0" collapsed="false">
      <c r="A34" s="6" t="n">
        <v>27</v>
      </c>
      <c r="B34" s="7" t="s">
        <v>147</v>
      </c>
      <c r="C34" s="7" t="s">
        <v>185</v>
      </c>
      <c r="D34" s="7" t="s">
        <v>186</v>
      </c>
      <c r="E34" s="8" t="n">
        <v>1</v>
      </c>
      <c r="F34" s="6" t="s">
        <v>147</v>
      </c>
      <c r="G34" s="6" t="s">
        <v>133</v>
      </c>
      <c r="H34" s="9" t="n">
        <v>15</v>
      </c>
      <c r="I34" s="10" t="n">
        <f aca="false">IF(H34="","",E34*H34)</f>
        <v>15</v>
      </c>
      <c r="J34" s="7" t="s">
        <v>187</v>
      </c>
      <c r="K34" s="7"/>
      <c r="L34" s="7" t="s">
        <v>164</v>
      </c>
      <c r="M34" s="7" t="s">
        <v>188</v>
      </c>
      <c r="N34" s="12"/>
      <c r="O34" s="12"/>
      <c r="P34" s="7" t="s">
        <v>189</v>
      </c>
      <c r="Q34" s="7" t="s">
        <v>190</v>
      </c>
      <c r="R34" s="7" t="s">
        <v>191</v>
      </c>
    </row>
    <row r="35" customFormat="false" ht="19.5" hidden="false" customHeight="true" outlineLevel="0" collapsed="false">
      <c r="A35" s="29"/>
      <c r="B35" s="29"/>
      <c r="C35" s="30" t="s">
        <v>192</v>
      </c>
      <c r="D35" s="29"/>
      <c r="E35" s="29"/>
      <c r="F35" s="29"/>
      <c r="G35" s="29"/>
      <c r="H35" s="29"/>
      <c r="I35" s="31" t="n">
        <f aca="false">SUMIFS($I$5:$I$34,$F$5:$F$34,"PCB")</f>
        <v>72.95</v>
      </c>
      <c r="J35" s="29"/>
      <c r="K35" s="29"/>
      <c r="L35" s="29"/>
      <c r="M35" s="29"/>
      <c r="N35" s="29"/>
      <c r="O35" s="29"/>
      <c r="P35" s="29"/>
      <c r="Q35" s="29"/>
      <c r="R35" s="29"/>
    </row>
    <row r="36" customFormat="false" ht="19.5" hidden="false" customHeight="true" outlineLevel="0" collapsed="false">
      <c r="A36" s="5" t="s">
        <v>193</v>
      </c>
      <c r="B36" s="5"/>
      <c r="C36" s="5"/>
      <c r="D36" s="5"/>
      <c r="E36" s="5"/>
      <c r="F36" s="5"/>
      <c r="G36" s="5"/>
      <c r="H36" s="5"/>
      <c r="I36" s="5"/>
      <c r="J36" s="5"/>
      <c r="K36" s="5"/>
      <c r="L36" s="5"/>
      <c r="M36" s="5"/>
      <c r="N36" s="5"/>
      <c r="O36" s="5"/>
      <c r="P36" s="5"/>
      <c r="Q36" s="5"/>
      <c r="R36" s="5"/>
    </row>
    <row r="37" customFormat="false" ht="51.75" hidden="false" customHeight="true" outlineLevel="0" collapsed="false">
      <c r="A37" s="6" t="n">
        <v>28</v>
      </c>
      <c r="B37" s="7" t="s">
        <v>63</v>
      </c>
      <c r="C37" s="7" t="s">
        <v>194</v>
      </c>
      <c r="D37" s="7" t="s">
        <v>195</v>
      </c>
      <c r="E37" s="8" t="n">
        <v>1</v>
      </c>
      <c r="F37" s="6" t="s">
        <v>196</v>
      </c>
      <c r="G37" s="6" t="s">
        <v>26</v>
      </c>
      <c r="H37" s="9" t="n">
        <v>175</v>
      </c>
      <c r="I37" s="10" t="n">
        <f aca="false">IF(H37="","",E37*H37)</f>
        <v>175</v>
      </c>
      <c r="J37" s="7" t="s">
        <v>197</v>
      </c>
      <c r="K37" s="11" t="s">
        <v>13</v>
      </c>
      <c r="L37" s="7" t="s">
        <v>198</v>
      </c>
      <c r="M37" s="7" t="s">
        <v>199</v>
      </c>
      <c r="N37" s="12"/>
      <c r="O37" s="12"/>
      <c r="P37" s="7" t="s">
        <v>200</v>
      </c>
      <c r="Q37" s="7" t="s">
        <v>201</v>
      </c>
      <c r="R37" s="7" t="s">
        <v>202</v>
      </c>
    </row>
    <row r="38" customFormat="false" ht="45" hidden="false" customHeight="true" outlineLevel="0" collapsed="false">
      <c r="A38" s="6" t="n">
        <v>29</v>
      </c>
      <c r="B38" s="7" t="s">
        <v>63</v>
      </c>
      <c r="C38" s="7" t="s">
        <v>203</v>
      </c>
      <c r="D38" s="7" t="s">
        <v>204</v>
      </c>
      <c r="E38" s="8" t="n">
        <v>1</v>
      </c>
      <c r="F38" s="6" t="s">
        <v>196</v>
      </c>
      <c r="G38" s="6" t="s">
        <v>71</v>
      </c>
      <c r="H38" s="9" t="n">
        <v>12.34</v>
      </c>
      <c r="I38" s="10" t="n">
        <f aca="false">IF(H38="","",E38*H38)</f>
        <v>12.34</v>
      </c>
      <c r="J38" s="7" t="s">
        <v>46</v>
      </c>
      <c r="K38" s="11" t="s">
        <v>13</v>
      </c>
      <c r="L38" s="7" t="s">
        <v>72</v>
      </c>
      <c r="M38" s="7" t="s">
        <v>205</v>
      </c>
      <c r="N38" s="12"/>
      <c r="O38" s="12"/>
      <c r="P38" s="7" t="s">
        <v>206</v>
      </c>
      <c r="Q38" s="7" t="s">
        <v>201</v>
      </c>
      <c r="R38" s="7" t="s">
        <v>207</v>
      </c>
    </row>
    <row r="39" customFormat="false" ht="45" hidden="false" customHeight="true" outlineLevel="0" collapsed="false">
      <c r="A39" s="6" t="n">
        <v>30</v>
      </c>
      <c r="B39" s="7" t="s">
        <v>63</v>
      </c>
      <c r="C39" s="7" t="s">
        <v>208</v>
      </c>
      <c r="D39" s="7" t="s">
        <v>209</v>
      </c>
      <c r="E39" s="8" t="n">
        <v>1</v>
      </c>
      <c r="F39" s="6" t="s">
        <v>196</v>
      </c>
      <c r="G39" s="6" t="s">
        <v>26</v>
      </c>
      <c r="H39" s="9" t="n">
        <v>11.95</v>
      </c>
      <c r="I39" s="10" t="n">
        <f aca="false">IF(H39="","",E39*H39)</f>
        <v>11.95</v>
      </c>
      <c r="J39" s="7" t="s">
        <v>197</v>
      </c>
      <c r="K39" s="11" t="s">
        <v>13</v>
      </c>
      <c r="L39" s="7" t="s">
        <v>210</v>
      </c>
      <c r="M39" s="7" t="s">
        <v>211</v>
      </c>
      <c r="N39" s="12"/>
      <c r="O39" s="12"/>
      <c r="P39" s="7" t="s">
        <v>212</v>
      </c>
      <c r="Q39" s="7" t="s">
        <v>201</v>
      </c>
      <c r="R39" s="7" t="s">
        <v>207</v>
      </c>
    </row>
    <row r="40" customFormat="false" ht="129.75" hidden="false" customHeight="true" outlineLevel="0" collapsed="false">
      <c r="A40" s="6" t="n">
        <v>31</v>
      </c>
      <c r="B40" s="7" t="s">
        <v>63</v>
      </c>
      <c r="C40" s="7" t="s">
        <v>213</v>
      </c>
      <c r="D40" s="7" t="s">
        <v>214</v>
      </c>
      <c r="E40" s="8" t="n">
        <v>0</v>
      </c>
      <c r="F40" s="6" t="s">
        <v>196</v>
      </c>
      <c r="G40" s="6" t="s">
        <v>71</v>
      </c>
      <c r="H40" s="9" t="n">
        <v>135</v>
      </c>
      <c r="I40" s="10" t="n">
        <f aca="false">IF(H40="","",E40*H40)</f>
        <v>0</v>
      </c>
      <c r="J40" s="7" t="s">
        <v>46</v>
      </c>
      <c r="K40" s="11" t="s">
        <v>13</v>
      </c>
      <c r="L40" s="7" t="s">
        <v>215</v>
      </c>
      <c r="M40" s="7" t="s">
        <v>216</v>
      </c>
      <c r="N40" s="12"/>
      <c r="O40" s="12"/>
      <c r="P40" s="7" t="s">
        <v>217</v>
      </c>
      <c r="Q40" s="7" t="s">
        <v>218</v>
      </c>
      <c r="R40" s="7" t="s">
        <v>219</v>
      </c>
    </row>
    <row r="41" customFormat="false" ht="45" hidden="false" customHeight="true" outlineLevel="0" collapsed="false">
      <c r="A41" s="6" t="n">
        <v>32</v>
      </c>
      <c r="B41" s="7" t="s">
        <v>63</v>
      </c>
      <c r="C41" s="7" t="s">
        <v>220</v>
      </c>
      <c r="D41" s="7" t="s">
        <v>221</v>
      </c>
      <c r="E41" s="8" t="n">
        <v>1</v>
      </c>
      <c r="F41" s="6" t="s">
        <v>196</v>
      </c>
      <c r="G41" s="6" t="s">
        <v>150</v>
      </c>
      <c r="H41" s="9"/>
      <c r="I41" s="10" t="str">
        <f aca="false">IF(H41="","",E41*H41)</f>
        <v/>
      </c>
      <c r="J41" s="7" t="s">
        <v>222</v>
      </c>
      <c r="K41" s="7"/>
      <c r="L41" s="7"/>
      <c r="M41" s="7" t="s">
        <v>223</v>
      </c>
      <c r="N41" s="12"/>
      <c r="O41" s="12"/>
      <c r="P41" s="7" t="s">
        <v>224</v>
      </c>
      <c r="Q41" s="7" t="s">
        <v>201</v>
      </c>
      <c r="R41" s="7" t="s">
        <v>225</v>
      </c>
    </row>
    <row r="42" customFormat="false" ht="19.5" hidden="false" customHeight="true" outlineLevel="0" collapsed="false">
      <c r="A42" s="29"/>
      <c r="B42" s="29"/>
      <c r="C42" s="30" t="s">
        <v>226</v>
      </c>
      <c r="D42" s="29"/>
      <c r="E42" s="29"/>
      <c r="F42" s="29"/>
      <c r="G42" s="29"/>
      <c r="H42" s="29"/>
      <c r="I42" s="31" t="n">
        <f aca="false">SUMIFS($I$5:$I$41,$F$5:$F$41,"P2")</f>
        <v>199.29</v>
      </c>
      <c r="J42" s="29"/>
      <c r="K42" s="29"/>
      <c r="L42" s="29"/>
      <c r="M42" s="29"/>
      <c r="N42" s="29"/>
      <c r="O42" s="29"/>
      <c r="P42" s="29"/>
      <c r="Q42" s="29"/>
      <c r="R42" s="29"/>
    </row>
    <row r="43" customFormat="false" ht="19.5" hidden="false" customHeight="true" outlineLevel="0" collapsed="false">
      <c r="A43" s="5" t="s">
        <v>227</v>
      </c>
      <c r="B43" s="5"/>
      <c r="C43" s="5"/>
      <c r="D43" s="5"/>
      <c r="E43" s="5"/>
      <c r="F43" s="5"/>
      <c r="G43" s="5"/>
      <c r="H43" s="5"/>
      <c r="I43" s="5"/>
      <c r="J43" s="5"/>
      <c r="K43" s="5"/>
      <c r="L43" s="5"/>
      <c r="M43" s="5"/>
      <c r="N43" s="5"/>
      <c r="O43" s="5"/>
      <c r="P43" s="5"/>
      <c r="Q43" s="5"/>
      <c r="R43" s="5"/>
    </row>
    <row r="44" customFormat="false" ht="45" hidden="false" customHeight="true" outlineLevel="0" collapsed="false">
      <c r="A44" s="6" t="n">
        <v>33</v>
      </c>
      <c r="B44" s="7" t="s">
        <v>68</v>
      </c>
      <c r="C44" s="7" t="s">
        <v>228</v>
      </c>
      <c r="D44" s="7" t="s">
        <v>229</v>
      </c>
      <c r="E44" s="8" t="n">
        <v>0</v>
      </c>
      <c r="F44" s="6" t="s">
        <v>230</v>
      </c>
      <c r="G44" s="6" t="s">
        <v>71</v>
      </c>
      <c r="H44" s="9" t="n">
        <v>6.99</v>
      </c>
      <c r="I44" s="10" t="n">
        <f aca="false">IF(H44="","",E44*H44)</f>
        <v>0</v>
      </c>
      <c r="J44" s="7" t="s">
        <v>231</v>
      </c>
      <c r="K44" s="11" t="s">
        <v>13</v>
      </c>
      <c r="L44" s="7" t="s">
        <v>232</v>
      </c>
      <c r="M44" s="7" t="s">
        <v>233</v>
      </c>
      <c r="N44" s="12"/>
      <c r="O44" s="12"/>
      <c r="P44" s="7" t="s">
        <v>234</v>
      </c>
      <c r="Q44" s="7" t="s">
        <v>235</v>
      </c>
      <c r="R44" s="7" t="s">
        <v>236</v>
      </c>
    </row>
    <row r="45" customFormat="false" ht="45" hidden="false" customHeight="true" outlineLevel="0" collapsed="false">
      <c r="A45" s="6" t="n">
        <v>34</v>
      </c>
      <c r="B45" s="7" t="s">
        <v>68</v>
      </c>
      <c r="C45" s="7" t="s">
        <v>237</v>
      </c>
      <c r="D45" s="7" t="s">
        <v>238</v>
      </c>
      <c r="E45" s="8" t="n">
        <v>0</v>
      </c>
      <c r="F45" s="6" t="s">
        <v>230</v>
      </c>
      <c r="G45" s="6" t="s">
        <v>26</v>
      </c>
      <c r="H45" s="9" t="n">
        <v>8.95</v>
      </c>
      <c r="I45" s="10" t="n">
        <f aca="false">IF(H45="","",E45*H45)</f>
        <v>0</v>
      </c>
      <c r="J45" s="7" t="s">
        <v>171</v>
      </c>
      <c r="K45" s="11" t="s">
        <v>13</v>
      </c>
      <c r="L45" s="7" t="s">
        <v>239</v>
      </c>
      <c r="M45" s="7" t="s">
        <v>240</v>
      </c>
      <c r="N45" s="12"/>
      <c r="O45" s="12"/>
      <c r="P45" s="7" t="s">
        <v>241</v>
      </c>
      <c r="Q45" s="7" t="s">
        <v>235</v>
      </c>
      <c r="R45" s="7" t="s">
        <v>236</v>
      </c>
    </row>
    <row r="46" customFormat="false" ht="45" hidden="false" customHeight="true" outlineLevel="0" collapsed="false">
      <c r="A46" s="6" t="n">
        <v>35</v>
      </c>
      <c r="B46" s="7" t="s">
        <v>68</v>
      </c>
      <c r="C46" s="7" t="s">
        <v>242</v>
      </c>
      <c r="D46" s="7" t="s">
        <v>243</v>
      </c>
      <c r="E46" s="8" t="n">
        <v>0</v>
      </c>
      <c r="F46" s="6" t="s">
        <v>230</v>
      </c>
      <c r="G46" s="6" t="s">
        <v>150</v>
      </c>
      <c r="H46" s="9" t="n">
        <v>42</v>
      </c>
      <c r="I46" s="10" t="n">
        <f aca="false">IF(H46="","",E46*H46)</f>
        <v>0</v>
      </c>
      <c r="J46" s="7" t="s">
        <v>244</v>
      </c>
      <c r="K46" s="7"/>
      <c r="L46" s="7"/>
      <c r="M46" s="7" t="s">
        <v>245</v>
      </c>
      <c r="N46" s="12"/>
      <c r="O46" s="12"/>
      <c r="P46" s="7" t="s">
        <v>246</v>
      </c>
      <c r="Q46" s="7" t="s">
        <v>235</v>
      </c>
      <c r="R46" s="7" t="s">
        <v>247</v>
      </c>
    </row>
    <row r="47" customFormat="false" ht="45" hidden="false" customHeight="true" outlineLevel="0" collapsed="false">
      <c r="A47" s="6" t="n">
        <v>36</v>
      </c>
      <c r="B47" s="7" t="s">
        <v>42</v>
      </c>
      <c r="C47" s="7" t="s">
        <v>248</v>
      </c>
      <c r="D47" s="7" t="s">
        <v>249</v>
      </c>
      <c r="E47" s="8" t="n">
        <v>0</v>
      </c>
      <c r="F47" s="6" t="s">
        <v>250</v>
      </c>
      <c r="G47" s="6" t="s">
        <v>26</v>
      </c>
      <c r="H47" s="9" t="n">
        <v>14.99</v>
      </c>
      <c r="I47" s="10" t="n">
        <f aca="false">IF(H47="","",E47*H47)</f>
        <v>0</v>
      </c>
      <c r="J47" s="7" t="s">
        <v>46</v>
      </c>
      <c r="K47" s="11" t="s">
        <v>13</v>
      </c>
      <c r="L47" s="7" t="s">
        <v>251</v>
      </c>
      <c r="M47" s="7" t="s">
        <v>252</v>
      </c>
      <c r="N47" s="12"/>
      <c r="O47" s="12"/>
      <c r="P47" s="7" t="s">
        <v>253</v>
      </c>
      <c r="Q47" s="7" t="s">
        <v>37</v>
      </c>
      <c r="R47" s="7" t="s">
        <v>37</v>
      </c>
    </row>
    <row r="48" customFormat="false" ht="64.5" hidden="false" customHeight="true" outlineLevel="0" collapsed="false">
      <c r="A48" s="6" t="n">
        <v>37</v>
      </c>
      <c r="B48" s="7" t="s">
        <v>42</v>
      </c>
      <c r="C48" s="7" t="s">
        <v>254</v>
      </c>
      <c r="D48" s="7" t="s">
        <v>255</v>
      </c>
      <c r="E48" s="8" t="n">
        <v>0</v>
      </c>
      <c r="F48" s="6" t="s">
        <v>250</v>
      </c>
      <c r="G48" s="6" t="s">
        <v>71</v>
      </c>
      <c r="H48" s="9" t="n">
        <v>9.99</v>
      </c>
      <c r="I48" s="10" t="n">
        <f aca="false">IF(H48="","",E48*H48)</f>
        <v>0</v>
      </c>
      <c r="J48" s="7" t="s">
        <v>46</v>
      </c>
      <c r="K48" s="11" t="s">
        <v>13</v>
      </c>
      <c r="L48" s="7" t="s">
        <v>256</v>
      </c>
      <c r="M48" s="7" t="s">
        <v>252</v>
      </c>
      <c r="N48" s="12"/>
      <c r="O48" s="12"/>
      <c r="P48" s="7" t="s">
        <v>257</v>
      </c>
      <c r="Q48" s="7" t="s">
        <v>37</v>
      </c>
      <c r="R48" s="7" t="s">
        <v>37</v>
      </c>
    </row>
    <row r="49" customFormat="false" ht="19.5" hidden="false" customHeight="true" outlineLevel="0" collapsed="false">
      <c r="A49" s="5" t="s">
        <v>258</v>
      </c>
      <c r="B49" s="5"/>
      <c r="C49" s="5"/>
      <c r="D49" s="5"/>
      <c r="E49" s="5"/>
      <c r="F49" s="5"/>
      <c r="G49" s="5"/>
      <c r="H49" s="5"/>
      <c r="I49" s="5"/>
      <c r="J49" s="5"/>
      <c r="K49" s="5"/>
      <c r="L49" s="5"/>
      <c r="M49" s="5"/>
      <c r="N49" s="5"/>
      <c r="O49" s="5"/>
      <c r="P49" s="5"/>
      <c r="Q49" s="5"/>
      <c r="R49" s="5"/>
    </row>
    <row r="50" customFormat="false" ht="45" hidden="false" customHeight="true" outlineLevel="0" collapsed="false">
      <c r="A50" s="6" t="n">
        <v>38</v>
      </c>
      <c r="B50" s="7" t="s">
        <v>259</v>
      </c>
      <c r="C50" s="7" t="s">
        <v>260</v>
      </c>
      <c r="D50" s="7" t="s">
        <v>261</v>
      </c>
      <c r="E50" s="8" t="n">
        <v>1</v>
      </c>
      <c r="F50" s="6" t="s">
        <v>262</v>
      </c>
      <c r="G50" s="6" t="s">
        <v>133</v>
      </c>
      <c r="H50" s="9" t="n">
        <v>50</v>
      </c>
      <c r="I50" s="10" t="n">
        <f aca="false">IF(H50="","",E50*H50)</f>
        <v>50</v>
      </c>
      <c r="J50" s="7" t="s">
        <v>37</v>
      </c>
      <c r="K50" s="7"/>
      <c r="L50" s="7" t="s">
        <v>37</v>
      </c>
      <c r="M50" s="7" t="s">
        <v>263</v>
      </c>
      <c r="N50" s="12"/>
      <c r="O50" s="12"/>
      <c r="P50" s="7" t="s">
        <v>264</v>
      </c>
      <c r="Q50" s="7" t="s">
        <v>37</v>
      </c>
      <c r="R50" s="7" t="s">
        <v>37</v>
      </c>
    </row>
    <row r="51" customFormat="false" ht="45" hidden="false" customHeight="true" outlineLevel="0" collapsed="false">
      <c r="A51" s="6" t="n">
        <v>39</v>
      </c>
      <c r="B51" s="7" t="s">
        <v>259</v>
      </c>
      <c r="C51" s="7" t="s">
        <v>265</v>
      </c>
      <c r="D51" s="7" t="s">
        <v>266</v>
      </c>
      <c r="E51" s="8" t="n">
        <v>1</v>
      </c>
      <c r="F51" s="6" t="s">
        <v>262</v>
      </c>
      <c r="G51" s="6" t="s">
        <v>133</v>
      </c>
      <c r="H51" s="9" t="n">
        <v>30</v>
      </c>
      <c r="I51" s="10" t="n">
        <f aca="false">IF(H51="","",E51*H51)</f>
        <v>30</v>
      </c>
      <c r="J51" s="7" t="s">
        <v>37</v>
      </c>
      <c r="K51" s="7"/>
      <c r="L51" s="7" t="s">
        <v>37</v>
      </c>
      <c r="M51" s="7" t="s">
        <v>267</v>
      </c>
      <c r="N51" s="12"/>
      <c r="O51" s="12"/>
      <c r="P51" s="7" t="s">
        <v>268</v>
      </c>
      <c r="Q51" s="7" t="s">
        <v>37</v>
      </c>
      <c r="R51" s="7" t="s">
        <v>37</v>
      </c>
    </row>
    <row r="52" customFormat="false" ht="19.5" hidden="false" customHeight="true" outlineLevel="0" collapsed="false">
      <c r="A52" s="29"/>
      <c r="B52" s="29"/>
      <c r="C52" s="30" t="s">
        <v>269</v>
      </c>
      <c r="D52" s="29"/>
      <c r="E52" s="29"/>
      <c r="F52" s="29"/>
      <c r="G52" s="29"/>
      <c r="H52" s="29"/>
      <c r="I52" s="31" t="n">
        <f aca="false">SUMIFS($I$5:$I$51,$F$5:$F$51,"SHIP")</f>
        <v>80</v>
      </c>
      <c r="J52" s="29"/>
      <c r="K52" s="29"/>
      <c r="L52" s="29"/>
      <c r="M52" s="29"/>
      <c r="N52" s="29"/>
      <c r="O52" s="29"/>
      <c r="P52" s="29"/>
      <c r="Q52" s="29"/>
      <c r="R52" s="29"/>
    </row>
    <row r="53" customFormat="false" ht="24" hidden="false" customHeight="true" outlineLevel="0" collapsed="false">
      <c r="A53" s="32"/>
      <c r="B53" s="32"/>
      <c r="C53" s="33" t="s">
        <v>270</v>
      </c>
      <c r="D53" s="32"/>
      <c r="E53" s="32"/>
      <c r="F53" s="32"/>
      <c r="G53" s="32"/>
      <c r="H53" s="32"/>
      <c r="I53" s="34" t="n">
        <f aca="false">I27+I35+I42+I52</f>
        <v>487.87</v>
      </c>
      <c r="J53" s="32"/>
      <c r="K53" s="32"/>
      <c r="L53" s="32"/>
      <c r="M53" s="32"/>
      <c r="N53" s="32"/>
      <c r="O53" s="32"/>
      <c r="P53" s="32"/>
      <c r="Q53" s="32"/>
      <c r="R53" s="32"/>
    </row>
  </sheetData>
  <mergeCells count="5">
    <mergeCell ref="A5:R5"/>
    <mergeCell ref="A28:R28"/>
    <mergeCell ref="A36:R36"/>
    <mergeCell ref="A43:R43"/>
    <mergeCell ref="A49:R49"/>
  </mergeCells>
  <hyperlinks>
    <hyperlink ref="K6" r:id="rId1" display="Link"/>
    <hyperlink ref="K8" r:id="rId2" display="Link"/>
    <hyperlink ref="K9" r:id="rId3" display="Link"/>
    <hyperlink ref="K11" r:id="rId4" display="Link"/>
    <hyperlink ref="K12" r:id="rId5" display="Link"/>
    <hyperlink ref="K15" r:id="rId6" display="Link"/>
    <hyperlink ref="K16" r:id="rId7" display="Link"/>
    <hyperlink ref="K17" r:id="rId8" display="Link"/>
    <hyperlink ref="K31" r:id="rId9" display="Link"/>
    <hyperlink ref="K32" r:id="rId10" display="Link"/>
    <hyperlink ref="K33" r:id="rId11" display="Link"/>
    <hyperlink ref="K37" r:id="rId12" display="Link"/>
    <hyperlink ref="K38" r:id="rId13" display="Link"/>
    <hyperlink ref="K39" r:id="rId14" display="Link"/>
    <hyperlink ref="K40" r:id="rId15" display="Link"/>
    <hyperlink ref="K44" r:id="rId16" display="Link"/>
    <hyperlink ref="K45" r:id="rId17" display="Link"/>
    <hyperlink ref="K47" r:id="rId18" display="Link"/>
    <hyperlink ref="K48" r:id="rId19"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271</v>
      </c>
    </row>
    <row r="3" customFormat="false" ht="15" hidden="false" customHeight="false" outlineLevel="0" collapsed="false">
      <c r="A3" s="0" t="s">
        <v>272</v>
      </c>
      <c r="B3" s="35" t="n">
        <v>380</v>
      </c>
      <c r="C3" s="36" t="s">
        <v>273</v>
      </c>
    </row>
    <row r="5" customFormat="false" ht="15" hidden="false" customHeight="false" outlineLevel="0" collapsed="false">
      <c r="A5" s="37" t="s">
        <v>274</v>
      </c>
      <c r="B5" s="38" t="n">
        <f aca="false">SUMIFS(BOM!$I$5:$I$53,BOM!$F$5:$F$53,"P1")</f>
        <v>135.63</v>
      </c>
      <c r="C5" s="37" t="s">
        <v>275</v>
      </c>
    </row>
    <row r="6" customFormat="false" ht="15" hidden="false" customHeight="false" outlineLevel="0" collapsed="false">
      <c r="A6" s="37" t="s">
        <v>276</v>
      </c>
      <c r="B6" s="38" t="n">
        <f aca="false">SUMIFS(BOM!$I$5:$I$53,BOM!$F$5:$F$53,"PCB")</f>
        <v>72.95</v>
      </c>
      <c r="C6" s="37" t="s">
        <v>277</v>
      </c>
    </row>
    <row r="7" customFormat="false" ht="15" hidden="false" customHeight="false" outlineLevel="0" collapsed="false">
      <c r="A7" s="37" t="s">
        <v>278</v>
      </c>
      <c r="B7" s="38" t="n">
        <f aca="false">SUMIFS(BOM!$I$5:$I$53,BOM!$F$5:$F$53,"P2")</f>
        <v>199.29</v>
      </c>
      <c r="C7" s="37" t="s">
        <v>279</v>
      </c>
    </row>
    <row r="8" customFormat="false" ht="15" hidden="false" customHeight="false" outlineLevel="0" collapsed="false">
      <c r="A8" s="37" t="s">
        <v>280</v>
      </c>
      <c r="B8" s="38" t="n">
        <f aca="false">SUMIFS(BOM!$I$5:$I$53,BOM!$F$5:$F$53,"SHIP")</f>
        <v>80</v>
      </c>
      <c r="C8" s="37" t="s">
        <v>281</v>
      </c>
    </row>
    <row r="9" customFormat="false" ht="15" hidden="false" customHeight="false" outlineLevel="0" collapsed="false">
      <c r="A9" s="37" t="s">
        <v>282</v>
      </c>
      <c r="B9" s="38" t="n">
        <f aca="false">SUMIFS(BOM!$I$5:$I$53,BOM!$F$5:$F$53,"P3")</f>
        <v>0</v>
      </c>
      <c r="C9" s="37" t="s">
        <v>283</v>
      </c>
    </row>
    <row r="10" customFormat="false" ht="15" hidden="false" customHeight="false" outlineLevel="0" collapsed="false">
      <c r="A10" s="39" t="s">
        <v>284</v>
      </c>
      <c r="B10" s="40" t="n">
        <f aca="false">SUM(B5:B9)</f>
        <v>487.87</v>
      </c>
    </row>
    <row r="11" customFormat="false" ht="15" hidden="false" customHeight="false" outlineLevel="0" collapsed="false">
      <c r="A11" s="39" t="s">
        <v>285</v>
      </c>
      <c r="B11" s="41" t="n">
        <f aca="false">B3-B10</f>
        <v>-107.87</v>
      </c>
      <c r="C11" s="36" t="s">
        <v>286</v>
      </c>
    </row>
    <row r="13" customFormat="false" ht="15" hidden="false" customHeight="false" outlineLevel="0" collapsed="false">
      <c r="A13" s="37" t="s">
        <v>287</v>
      </c>
      <c r="B13" s="38" t="n">
        <f aca="false">SUMIFS(BOM!$H$5:$H$53,BOM!$F$5:$F$53,"P3")</f>
        <v>57.94</v>
      </c>
      <c r="C13" s="36" t="s">
        <v>288</v>
      </c>
    </row>
    <row r="14" customFormat="false" ht="15" hidden="false" customHeight="false" outlineLevel="0" collapsed="false">
      <c r="A14" s="37" t="s">
        <v>213</v>
      </c>
      <c r="B14" s="38" t="n">
        <f aca="false">SUMIFS(BOM!$H$5:$H$53,BOM!$C$5:$C$53,"*Coral*")</f>
        <v>135</v>
      </c>
      <c r="C14" s="36" t="s">
        <v>289</v>
      </c>
    </row>
    <row r="16" customFormat="false" ht="15" hidden="false" customHeight="false" outlineLevel="0" collapsed="false">
      <c r="A16" s="39" t="s">
        <v>290</v>
      </c>
      <c r="B16" s="40" t="n">
        <f aca="false">B10</f>
        <v>487.87</v>
      </c>
      <c r="C16" s="36" t="s">
        <v>291</v>
      </c>
    </row>
    <row r="17" customFormat="false" ht="15" hidden="false" customHeight="false" outlineLevel="0" collapsed="false">
      <c r="A17" s="39" t="s">
        <v>292</v>
      </c>
      <c r="B17" s="40" t="n">
        <f aca="false">B10+B13+B14</f>
        <v>680.81</v>
      </c>
      <c r="C17" s="36" t="s">
        <v>293</v>
      </c>
    </row>
    <row r="19" customFormat="false" ht="15" hidden="false" customHeight="false" outlineLevel="0" collapsed="false">
      <c r="A19" s="37" t="s">
        <v>294</v>
      </c>
      <c r="B19" s="37" t="n">
        <f aca="false">COUNTIFS(BOM!$E$5:$E$53,"&gt;0",BOM!$G$5:$G$53,"Estimate")+COUNTIFS(BOM!$E$5:$E$53,"&gt;0",BOM!$H$5:$H$53,"")</f>
        <v>6</v>
      </c>
      <c r="C19" s="36" t="s">
        <v>295</v>
      </c>
    </row>
    <row r="20" customFormat="false" ht="15" hidden="false" customHeight="false" outlineLevel="0" collapsed="false">
      <c r="A20" s="37" t="s">
        <v>296</v>
      </c>
      <c r="B20" s="37" t="n">
        <f aca="false">COUNTIFS(BOM!$E$5:$E$53,"&gt;0",BOM!$G$5:$G$53,"Verified")+COUNTIFS(BOM!$E$5:$E$53,"&gt;0",BOM!$G$5:$G$53,"Received")</f>
        <v>8</v>
      </c>
      <c r="C20" s="36" t="s">
        <v>297</v>
      </c>
    </row>
    <row r="22" customFormat="false" ht="15" hidden="false" customHeight="false" outlineLevel="0" collapsed="false">
      <c r="A22" s="39" t="s">
        <v>298</v>
      </c>
    </row>
    <row r="23" customFormat="false" ht="15" hidden="false" customHeight="false" outlineLevel="0" collapsed="false">
      <c r="A23" s="37" t="s">
        <v>299</v>
      </c>
    </row>
    <row r="24" customFormat="false" ht="15" hidden="false" customHeight="false" outlineLevel="0" collapsed="false">
      <c r="A24" s="37" t="s">
        <v>300</v>
      </c>
    </row>
    <row r="25" customFormat="false" ht="15" hidden="false" customHeight="false" outlineLevel="0" collapsed="false">
      <c r="A25" s="37" t="s">
        <v>301</v>
      </c>
    </row>
    <row r="26" customFormat="false" ht="15" hidden="false" customHeight="false" outlineLevel="0" collapsed="false">
      <c r="A26" s="37" t="s">
        <v>302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39" t="s">
        <v>9</v>
      </c>
      <c r="B1" s="37"/>
    </row>
    <row r="2" customFormat="false" ht="15" hidden="false" customHeight="false" outlineLevel="0" collapsed="false">
      <c r="A2" s="39" t="s">
        <v>26</v>
      </c>
      <c r="B2" s="37" t="s">
        <v>303</v>
      </c>
    </row>
    <row r="3" customFormat="false" ht="15" hidden="false" customHeight="false" outlineLevel="0" collapsed="false">
      <c r="A3" s="39" t="s">
        <v>304</v>
      </c>
      <c r="B3" s="37" t="s">
        <v>305</v>
      </c>
    </row>
    <row r="4" customFormat="false" ht="15" hidden="false" customHeight="false" outlineLevel="0" collapsed="false">
      <c r="A4" s="39" t="s">
        <v>71</v>
      </c>
      <c r="B4" s="37" t="s">
        <v>306</v>
      </c>
    </row>
    <row r="5" customFormat="false" ht="15" hidden="false" customHeight="false" outlineLevel="0" collapsed="false">
      <c r="A5" s="39" t="s">
        <v>133</v>
      </c>
      <c r="B5" s="37" t="s">
        <v>307</v>
      </c>
    </row>
    <row r="6" customFormat="false" ht="15" hidden="false" customHeight="false" outlineLevel="0" collapsed="false">
      <c r="A6" s="39" t="s">
        <v>308</v>
      </c>
      <c r="B6" s="37" t="s">
        <v>309</v>
      </c>
    </row>
    <row r="7" customFormat="false" ht="15" hidden="false" customHeight="false" outlineLevel="0" collapsed="false">
      <c r="A7" s="39" t="s">
        <v>310</v>
      </c>
      <c r="B7" s="37" t="s">
        <v>311</v>
      </c>
    </row>
    <row r="8" customFormat="false" ht="15" hidden="false" customHeight="false" outlineLevel="0" collapsed="false">
      <c r="A8" s="39" t="s">
        <v>312</v>
      </c>
      <c r="B8" s="37" t="s">
        <v>313</v>
      </c>
    </row>
    <row r="9" customFormat="false" ht="15" hidden="false" customHeight="false" outlineLevel="0" collapsed="false">
      <c r="A9" s="39" t="s">
        <v>314</v>
      </c>
      <c r="B9" s="37" t="s">
        <v>315</v>
      </c>
    </row>
    <row r="10" customFormat="false" ht="15" hidden="false" customHeight="false" outlineLevel="0" collapsed="false">
      <c r="A10" s="39" t="s">
        <v>316</v>
      </c>
      <c r="B10" s="37" t="s">
        <v>317</v>
      </c>
    </row>
    <row r="11" customFormat="false" ht="15" hidden="false" customHeight="false" outlineLevel="0" collapsed="false">
      <c r="A11" s="39" t="s">
        <v>318</v>
      </c>
      <c r="B11" s="37" t="s">
        <v>319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6"/>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70"/>
  </cols>
  <sheetData>
    <row r="1" customFormat="false" ht="17.35" hidden="false" customHeight="false" outlineLevel="0" collapsed="false">
      <c r="A1" s="1" t="s">
        <v>320</v>
      </c>
    </row>
    <row r="2" customFormat="false" ht="15" hidden="false" customHeight="false" outlineLevel="0" collapsed="false">
      <c r="A2" s="2" t="s">
        <v>321</v>
      </c>
    </row>
    <row r="4" customFormat="false" ht="15" hidden="false" customHeight="false" outlineLevel="0" collapsed="false">
      <c r="A4" s="5" t="s">
        <v>322</v>
      </c>
      <c r="B4" s="5"/>
      <c r="C4" s="5"/>
      <c r="D4" s="5"/>
      <c r="E4" s="5"/>
      <c r="F4" s="5"/>
      <c r="G4" s="5"/>
      <c r="H4" s="5"/>
    </row>
    <row r="5" customFormat="false" ht="15" hidden="false" customHeight="false" outlineLevel="0" collapsed="false">
      <c r="A5" s="4" t="s">
        <v>323</v>
      </c>
      <c r="B5" s="4" t="s">
        <v>324</v>
      </c>
      <c r="C5" s="4" t="s">
        <v>7</v>
      </c>
      <c r="D5" s="4" t="s">
        <v>325</v>
      </c>
      <c r="E5" s="4" t="s">
        <v>326</v>
      </c>
      <c r="F5" s="4" t="s">
        <v>12</v>
      </c>
      <c r="G5" s="4" t="s">
        <v>13</v>
      </c>
      <c r="H5" s="4" t="s">
        <v>327</v>
      </c>
    </row>
    <row r="6" customFormat="false" ht="31.5" hidden="false" customHeight="true" outlineLevel="0" collapsed="false">
      <c r="A6" s="6" t="s">
        <v>328</v>
      </c>
      <c r="B6" s="7" t="s">
        <v>329</v>
      </c>
      <c r="C6" s="8" t="n">
        <v>2</v>
      </c>
      <c r="D6" s="42" t="n">
        <v>39.99</v>
      </c>
      <c r="E6" s="43" t="n">
        <f aca="false">C6*D6</f>
        <v>79.98</v>
      </c>
      <c r="F6" s="7" t="s">
        <v>46</v>
      </c>
      <c r="G6" s="11" t="s">
        <v>13</v>
      </c>
      <c r="H6" s="7" t="s">
        <v>330</v>
      </c>
    </row>
    <row r="7" customFormat="false" ht="31.5" hidden="false" customHeight="true" outlineLevel="0" collapsed="false">
      <c r="A7" s="6" t="s">
        <v>328</v>
      </c>
      <c r="B7" s="7" t="s">
        <v>331</v>
      </c>
      <c r="C7" s="8" t="n">
        <v>1</v>
      </c>
      <c r="D7" s="42" t="n">
        <v>19.99</v>
      </c>
      <c r="E7" s="43" t="n">
        <f aca="false">C7*D7</f>
        <v>19.99</v>
      </c>
      <c r="F7" s="7" t="s">
        <v>46</v>
      </c>
      <c r="G7" s="11" t="s">
        <v>13</v>
      </c>
      <c r="H7" s="7" t="s">
        <v>332</v>
      </c>
    </row>
    <row r="8" customFormat="false" ht="31.5" hidden="false" customHeight="true" outlineLevel="0" collapsed="false">
      <c r="A8" s="6" t="s">
        <v>328</v>
      </c>
      <c r="B8" s="7" t="s">
        <v>333</v>
      </c>
      <c r="C8" s="8" t="n">
        <v>1</v>
      </c>
      <c r="D8" s="42" t="n">
        <v>6.69</v>
      </c>
      <c r="E8" s="43" t="n">
        <f aca="false">C8*D8</f>
        <v>6.69</v>
      </c>
      <c r="F8" s="7" t="s">
        <v>46</v>
      </c>
      <c r="G8" s="11" t="s">
        <v>13</v>
      </c>
      <c r="H8" s="7" t="s">
        <v>334</v>
      </c>
    </row>
    <row r="9" customFormat="false" ht="31.5" hidden="false" customHeight="true" outlineLevel="0" collapsed="false">
      <c r="A9" s="6" t="s">
        <v>328</v>
      </c>
      <c r="B9" s="7" t="s">
        <v>335</v>
      </c>
      <c r="C9" s="8" t="n">
        <v>1</v>
      </c>
      <c r="D9" s="42" t="n">
        <v>5.99</v>
      </c>
      <c r="E9" s="43" t="n">
        <f aca="false">C9*D9</f>
        <v>5.99</v>
      </c>
      <c r="F9" s="7" t="s">
        <v>46</v>
      </c>
      <c r="G9" s="11" t="s">
        <v>13</v>
      </c>
      <c r="H9" s="7" t="s">
        <v>336</v>
      </c>
    </row>
    <row r="10" customFormat="false" ht="31.5" hidden="false" customHeight="true" outlineLevel="0" collapsed="false">
      <c r="A10" s="6" t="s">
        <v>328</v>
      </c>
      <c r="B10" s="7" t="s">
        <v>337</v>
      </c>
      <c r="C10" s="8" t="n">
        <v>1</v>
      </c>
      <c r="D10" s="42" t="n">
        <v>6.99</v>
      </c>
      <c r="E10" s="43" t="n">
        <f aca="false">C10*D10</f>
        <v>6.99</v>
      </c>
      <c r="F10" s="7" t="s">
        <v>46</v>
      </c>
      <c r="G10" s="11" t="s">
        <v>13</v>
      </c>
      <c r="H10" s="7" t="s">
        <v>338</v>
      </c>
    </row>
    <row r="11" customFormat="false" ht="15" hidden="false" customHeight="false" outlineLevel="0" collapsed="false">
      <c r="A11" s="29"/>
      <c r="B11" s="30" t="s">
        <v>339</v>
      </c>
      <c r="C11" s="29"/>
      <c r="D11" s="29"/>
      <c r="E11" s="31" t="n">
        <f aca="false">SUM(E6:E10)</f>
        <v>119.64</v>
      </c>
      <c r="F11" s="29"/>
      <c r="G11" s="29"/>
      <c r="H11" s="29"/>
    </row>
    <row r="13" customFormat="false" ht="15" hidden="false" customHeight="false" outlineLevel="0" collapsed="false">
      <c r="A13" s="5" t="s">
        <v>340</v>
      </c>
      <c r="B13" s="5"/>
      <c r="C13" s="5"/>
      <c r="D13" s="5"/>
      <c r="E13" s="5"/>
      <c r="F13" s="5"/>
      <c r="G13" s="5"/>
      <c r="H13" s="5"/>
    </row>
    <row r="14" customFormat="false" ht="15" hidden="false" customHeight="false" outlineLevel="0" collapsed="false">
      <c r="A14" s="4" t="s">
        <v>323</v>
      </c>
      <c r="B14" s="4" t="s">
        <v>324</v>
      </c>
      <c r="C14" s="4" t="s">
        <v>7</v>
      </c>
      <c r="D14" s="4" t="s">
        <v>325</v>
      </c>
      <c r="E14" s="4" t="s">
        <v>326</v>
      </c>
      <c r="F14" s="4" t="s">
        <v>12</v>
      </c>
      <c r="G14" s="4" t="s">
        <v>13</v>
      </c>
      <c r="H14" s="4" t="s">
        <v>327</v>
      </c>
    </row>
    <row r="15" customFormat="false" ht="39" hidden="false" customHeight="true" outlineLevel="0" collapsed="false">
      <c r="A15" s="6" t="s">
        <v>341</v>
      </c>
      <c r="B15" s="7" t="s">
        <v>342</v>
      </c>
      <c r="C15" s="8" t="n">
        <v>1</v>
      </c>
      <c r="D15" s="42" t="n">
        <v>0.99</v>
      </c>
      <c r="E15" s="43" t="n">
        <f aca="false">C15*D15</f>
        <v>0.99</v>
      </c>
      <c r="F15" s="7" t="s">
        <v>27</v>
      </c>
      <c r="G15" s="11" t="s">
        <v>13</v>
      </c>
      <c r="H15" s="7" t="s">
        <v>343</v>
      </c>
    </row>
    <row r="16" customFormat="false" ht="15" hidden="false" customHeight="false" outlineLevel="0" collapsed="false">
      <c r="A16" s="29"/>
      <c r="B16" s="30" t="s">
        <v>344</v>
      </c>
      <c r="C16" s="29"/>
      <c r="D16" s="29"/>
      <c r="E16" s="31" t="n">
        <f aca="false">SUM(E15:E15)</f>
        <v>0.99</v>
      </c>
      <c r="F16" s="29"/>
      <c r="G16" s="29"/>
      <c r="H16" s="29"/>
    </row>
    <row r="18" customFormat="false" ht="15" hidden="false" customHeight="false" outlineLevel="0" collapsed="false">
      <c r="A18" s="5" t="s">
        <v>345</v>
      </c>
      <c r="B18" s="5"/>
      <c r="C18" s="5"/>
      <c r="D18" s="5"/>
      <c r="E18" s="5"/>
      <c r="F18" s="5"/>
      <c r="G18" s="5"/>
      <c r="H18" s="5"/>
    </row>
    <row r="19" customFormat="false" ht="15" hidden="false" customHeight="false" outlineLevel="0" collapsed="false">
      <c r="A19" s="4" t="s">
        <v>323</v>
      </c>
      <c r="B19" s="4" t="s">
        <v>324</v>
      </c>
      <c r="C19" s="4" t="s">
        <v>7</v>
      </c>
      <c r="D19" s="4" t="s">
        <v>325</v>
      </c>
      <c r="E19" s="4" t="s">
        <v>326</v>
      </c>
      <c r="F19" s="4" t="s">
        <v>12</v>
      </c>
      <c r="G19" s="4" t="s">
        <v>13</v>
      </c>
      <c r="H19" s="4" t="s">
        <v>327</v>
      </c>
    </row>
    <row r="20" customFormat="false" ht="31.5" hidden="false" customHeight="true" outlineLevel="0" collapsed="false">
      <c r="A20" s="6" t="s">
        <v>341</v>
      </c>
      <c r="B20" s="7" t="s">
        <v>346</v>
      </c>
      <c r="C20" s="8" t="n">
        <v>1</v>
      </c>
      <c r="D20" s="42" t="n">
        <v>15</v>
      </c>
      <c r="E20" s="43" t="n">
        <f aca="false">C20*D20</f>
        <v>15</v>
      </c>
      <c r="F20" s="7" t="s">
        <v>134</v>
      </c>
      <c r="G20" s="7"/>
      <c r="H20" s="7" t="s">
        <v>347</v>
      </c>
    </row>
    <row r="21" customFormat="false" ht="31.5" hidden="false" customHeight="true" outlineLevel="0" collapsed="false">
      <c r="A21" s="6" t="s">
        <v>341</v>
      </c>
      <c r="B21" s="7" t="s">
        <v>348</v>
      </c>
      <c r="C21" s="8" t="n">
        <v>1</v>
      </c>
      <c r="D21" s="42" t="n">
        <v>20.13</v>
      </c>
      <c r="E21" s="43" t="n">
        <f aca="false">C21*D21</f>
        <v>20.13</v>
      </c>
      <c r="F21" s="7" t="s">
        <v>27</v>
      </c>
      <c r="G21" s="11" t="s">
        <v>13</v>
      </c>
      <c r="H21" s="7" t="s">
        <v>349</v>
      </c>
    </row>
    <row r="22" customFormat="false" ht="31.5" hidden="false" customHeight="true" outlineLevel="0" collapsed="false">
      <c r="A22" s="6" t="s">
        <v>341</v>
      </c>
      <c r="B22" s="7" t="s">
        <v>350</v>
      </c>
      <c r="C22" s="8" t="n">
        <v>1</v>
      </c>
      <c r="D22" s="42" t="n">
        <v>11.99</v>
      </c>
      <c r="E22" s="43" t="n">
        <f aca="false">C22*D22</f>
        <v>11.99</v>
      </c>
      <c r="F22" s="7" t="s">
        <v>46</v>
      </c>
      <c r="G22" s="11" t="s">
        <v>13</v>
      </c>
      <c r="H22" s="7" t="s">
        <v>351</v>
      </c>
    </row>
    <row r="23" customFormat="false" ht="15" hidden="false" customHeight="false" outlineLevel="0" collapsed="false">
      <c r="A23" s="29"/>
      <c r="B23" s="30" t="s">
        <v>352</v>
      </c>
      <c r="C23" s="29"/>
      <c r="D23" s="29"/>
      <c r="E23" s="31" t="n">
        <f aca="false">SUM(E20:E22)</f>
        <v>47.12</v>
      </c>
      <c r="F23" s="29"/>
      <c r="G23" s="29"/>
      <c r="H23" s="29"/>
    </row>
    <row r="25" customFormat="false" ht="15" hidden="false" customHeight="false" outlineLevel="0" collapsed="false">
      <c r="B25" s="2" t="s">
        <v>353</v>
      </c>
    </row>
  </sheetData>
  <mergeCells count="3">
    <mergeCell ref="A4:H4"/>
    <mergeCell ref="A13:H13"/>
    <mergeCell ref="A18:H18"/>
  </mergeCells>
  <hyperlinks>
    <hyperlink ref="G6" r:id="rId1" display="Link"/>
    <hyperlink ref="G7" r:id="rId2" display="Link"/>
    <hyperlink ref="G8" r:id="rId3" display="Link"/>
    <hyperlink ref="G9" r:id="rId4" display="Link"/>
    <hyperlink ref="G10" r:id="rId5" display="Link"/>
    <hyperlink ref="G15" r:id="rId6" display="Link"/>
    <hyperlink ref="G21" r:id="rId7" display="Link"/>
    <hyperlink ref="G22" r:id="rId8"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6"/>
    <col collapsed="false" customWidth="true" hidden="false" outlineLevel="0" max="4" min="4" style="0" width="56"/>
    <col collapsed="false" customWidth="true" hidden="false" outlineLevel="0" max="5" min="5" style="0" width="44"/>
    <col collapsed="false" customWidth="true" hidden="false" outlineLevel="0" max="6" min="6" style="0" width="30"/>
  </cols>
  <sheetData>
    <row r="1" customFormat="false" ht="22.05" hidden="false" customHeight="false" outlineLevel="0" collapsed="false">
      <c r="A1" s="44" t="s">
        <v>354</v>
      </c>
    </row>
    <row r="2" customFormat="false" ht="15" hidden="false" customHeight="false" outlineLevel="0" collapsed="false">
      <c r="A2" s="45" t="s">
        <v>355</v>
      </c>
    </row>
    <row r="3" customFormat="false" ht="15" hidden="false" customHeight="false" outlineLevel="0" collapsed="false">
      <c r="A3" s="46" t="s">
        <v>356</v>
      </c>
    </row>
    <row r="5" customFormat="false" ht="23.85" hidden="false" customHeight="false" outlineLevel="0" collapsed="false">
      <c r="A5" s="4" t="s">
        <v>357</v>
      </c>
      <c r="B5" s="4" t="s">
        <v>324</v>
      </c>
      <c r="C5" s="4" t="s">
        <v>7</v>
      </c>
      <c r="D5" s="4" t="s">
        <v>358</v>
      </c>
      <c r="E5" s="4" t="s">
        <v>327</v>
      </c>
      <c r="F5" s="4" t="s">
        <v>359</v>
      </c>
    </row>
    <row r="6" customFormat="false" ht="31.5" hidden="false" customHeight="true" outlineLevel="0" collapsed="false">
      <c r="A6" s="13" t="s">
        <v>341</v>
      </c>
      <c r="B6" s="14" t="s">
        <v>360</v>
      </c>
      <c r="C6" s="13" t="n">
        <v>1</v>
      </c>
      <c r="D6" s="14" t="s">
        <v>361</v>
      </c>
      <c r="E6" s="14" t="s">
        <v>362</v>
      </c>
      <c r="F6" s="14"/>
    </row>
    <row r="7" customFormat="false" ht="31.5" hidden="false" customHeight="true" outlineLevel="0" collapsed="false">
      <c r="A7" s="13" t="s">
        <v>341</v>
      </c>
      <c r="B7" s="14" t="s">
        <v>363</v>
      </c>
      <c r="C7" s="13" t="n">
        <v>1</v>
      </c>
      <c r="D7" s="14" t="s">
        <v>364</v>
      </c>
      <c r="E7" s="14" t="s">
        <v>365</v>
      </c>
      <c r="F7" s="14"/>
    </row>
    <row r="8" customFormat="false" ht="31.5" hidden="false" customHeight="true" outlineLevel="0" collapsed="false">
      <c r="A8" s="13" t="s">
        <v>341</v>
      </c>
      <c r="B8" s="14" t="s">
        <v>366</v>
      </c>
      <c r="C8" s="13" t="n">
        <v>1</v>
      </c>
      <c r="D8" s="14" t="s">
        <v>367</v>
      </c>
      <c r="E8" s="14"/>
      <c r="F8" s="14"/>
    </row>
    <row r="9" customFormat="false" ht="31.5" hidden="false" customHeight="true" outlineLevel="0" collapsed="false">
      <c r="A9" s="13" t="s">
        <v>341</v>
      </c>
      <c r="B9" s="14" t="s">
        <v>368</v>
      </c>
      <c r="C9" s="13" t="n">
        <v>1</v>
      </c>
      <c r="D9" s="14" t="s">
        <v>369</v>
      </c>
      <c r="E9" s="14"/>
      <c r="F9" s="14"/>
    </row>
    <row r="10" customFormat="false" ht="31.5" hidden="false" customHeight="true" outlineLevel="0" collapsed="false">
      <c r="A10" s="13" t="s">
        <v>341</v>
      </c>
      <c r="B10" s="14" t="s">
        <v>370</v>
      </c>
      <c r="C10" s="13" t="n">
        <v>1</v>
      </c>
      <c r="D10" s="14" t="s">
        <v>371</v>
      </c>
      <c r="E10" s="14" t="s">
        <v>372</v>
      </c>
      <c r="F10" s="14"/>
    </row>
    <row r="11" customFormat="false" ht="31.5" hidden="false" customHeight="true" outlineLevel="0" collapsed="false">
      <c r="A11" s="13" t="s">
        <v>341</v>
      </c>
      <c r="B11" s="14" t="s">
        <v>373</v>
      </c>
      <c r="C11" s="13" t="n">
        <v>2</v>
      </c>
      <c r="D11" s="14" t="s">
        <v>374</v>
      </c>
      <c r="E11" s="14" t="s">
        <v>372</v>
      </c>
      <c r="F11" s="14"/>
    </row>
    <row r="14" customFormat="false" ht="15" hidden="false" customHeight="false" outlineLevel="0" collapsed="false">
      <c r="A14" s="47"/>
      <c r="B14" s="48" t="s">
        <v>375</v>
      </c>
      <c r="C14" s="47"/>
      <c r="D14" s="47"/>
      <c r="E14" s="47"/>
      <c r="F14" s="47"/>
    </row>
    <row r="15" customFormat="false" ht="15" hidden="false" customHeight="false" outlineLevel="0" collapsed="false">
      <c r="B15" s="37" t="s">
        <v>376</v>
      </c>
    </row>
    <row r="16" customFormat="false" ht="15" hidden="false" customHeight="false" outlineLevel="0" collapsed="false">
      <c r="B16" s="37" t="s">
        <v>377</v>
      </c>
    </row>
    <row r="17" customFormat="false" ht="15" hidden="false" customHeight="false" outlineLevel="0" collapsed="false">
      <c r="B17" s="37" t="s">
        <v>378</v>
      </c>
    </row>
    <row r="18" customFormat="false" ht="15" hidden="false" customHeight="false" outlineLevel="0" collapsed="false">
      <c r="B18" s="37" t="s">
        <v>379</v>
      </c>
    </row>
    <row r="19" customFormat="false" ht="15" hidden="false" customHeight="false" outlineLevel="0" collapsed="false">
      <c r="B19" s="37" t="s">
        <v>380</v>
      </c>
    </row>
    <row r="20" customFormat="false" ht="15" hidden="false" customHeight="false" outlineLevel="0" collapsed="false">
      <c r="B20" s="37"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2026-10-23T16:01:23Z</dcterms:created>
  <dc:creator>openpyxl</dc:creator>
  <dc:description/>
  <dc:language>en-US</dc:language>
  <cp:lastModifiedBy/>
  <dcterms:modified xsi:type="dcterms:W3CDTF">2026-10-23T16:01:23Z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