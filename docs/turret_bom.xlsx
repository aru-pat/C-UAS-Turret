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M" sheetId="1" state="visible" r:id="rId3"/>
    <sheet name="Summary" sheetId="2" state="visible" r:id="rId4"/>
    <sheet name="Legen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<sst xmlns="http://schemas.openxmlformats.org/spreadsheetml/2006/main" count="456" uniqueCount="291">
  <si>
    <t xml:space="preserve">Counter-UAS Turret - Bill of Materials (one row per part)</t>
  </si>
  <si>
    <t xml:space="preserve">Updated 2026-10-16. Status: Verified = I opened the live page and saw this price/stock. Needs check = price seen in a search result or unconfirmed detail. Estimate = my guess, no listing. Blue = typed-in input. Qty 0 = not counted in totals. Shipping and tax NOT included.</t>
  </si>
  <si>
    <t xml:space="preserve">#</t>
  </si>
  <si>
    <t xml:space="preserve">Subsystem</t>
  </si>
  <si>
    <t xml:space="preserve">Part name</t>
  </si>
  <si>
    <t xml:space="preserve">Specific component</t>
  </si>
  <si>
    <t xml:space="preserve">Qty</t>
  </si>
  <si>
    <t xml:space="preserve">Prototype</t>
  </si>
  <si>
    <t xml:space="preserve">Status</t>
  </si>
  <si>
    <t xml:space="preserve">Unit price ($)</t>
  </si>
  <si>
    <t xml:space="preserve">Ext. price ($)</t>
  </si>
  <si>
    <t xml:space="preserve">Vendor</t>
  </si>
  <si>
    <t xml:space="preserve">Link</t>
  </si>
  <si>
    <t xml:space="preserve">Est. arrival</t>
  </si>
  <si>
    <t xml:space="preserve">Why I chose it</t>
  </si>
  <si>
    <t xml:space="preserve">CAD footprint</t>
  </si>
  <si>
    <t xml:space="preserve">KiCad footprint</t>
  </si>
  <si>
    <t xml:space="preserve">Notes / watch-outs</t>
  </si>
  <si>
    <t xml:space="preserve">Decide by</t>
  </si>
  <si>
    <t xml:space="preserve">Order by</t>
  </si>
  <si>
    <t xml:space="preserve">PROTOTYPE 1 - order now (breadboard motors + trained model + laser)</t>
  </si>
  <si>
    <t xml:space="preserve">Control</t>
  </si>
  <si>
    <t xml:space="preserve">Microcontroller dev board</t>
  </si>
  <si>
    <t xml:space="preserve">STMicroelectronics NUCLEO-G474RE (Nucleo-64, STM32G474RE)</t>
  </si>
  <si>
    <t xml:space="preserve">P1</t>
  </si>
  <si>
    <t xml:space="preserve">Verified</t>
  </si>
  <si>
    <t xml:space="preserve">Digi-Key</t>
  </si>
  <si>
    <t xml:space="preserve">Digi-Key. Shipping time not shown on the page; confirm at checkout.</t>
  </si>
  <si>
    <t xml:space="preserve">I wanted the motor brain to be the one the industry or resume people will like better, so STM32 instead of ESP32, with one condition: it must cost only about 5 extra hours, because time is my tightest limit (10-12 hrs/week). We used Arduino-style code (PlatformIO) to hold it to that. The Nucleo-G474RE is a chip plus a built-in USB programmer on one board, so I can start testing motors right away. The G474 was chosen because the G431RB is out of stock with a 99-week lead time. Escape hatch: if no motor is turning by Oct 26, I switch to an ESP32-S3. I also chose to make my custom PCB a carrier board that this Nucleo plugs into, so this board stays in the finished turret.</t>
  </si>
  <si>
    <t xml:space="preserve">Seen in stock (1,981) on digikey.com. Its '99 weeks' is the restock lead time, not your wait. Amazon sellers charge $88-349, do not buy there. Ask the Purdue ECE shop first; if they have a Nucleo board, skip this.</t>
  </si>
  <si>
    <t xml:space="preserve">Oct 19 (after ECE shop check)</t>
  </si>
  <si>
    <t xml:space="preserve">Mon Oct 19 (Digi-Key) if ECE has none</t>
  </si>
  <si>
    <t xml:space="preserve">Motion</t>
  </si>
  <si>
    <t xml:space="preserve">Closed-loop motor + driver kit (pan + tilt)</t>
  </si>
  <si>
    <t xml:space="preserve">BIGTREETECH S42C V1.1 + metal cover + motor kit (Octobigtree)</t>
  </si>
  <si>
    <t xml:space="preserve">Amazon</t>
  </si>
  <si>
    <t xml:space="preserve">Listing showed delivery Sun Oct 18 on your screen.</t>
  </si>
  <si>
    <t xml:space="preserve">Closed-loop motors were in the original spec: backlash and lost steps were named as a top failure risk, and a turret has to turn fast to track a moving target without losing its aim. I need motors soon so I can start the CAD, the breadboard wiring and model training, so the pick had to arrive in days. The BTT S42C kit includes the motor, the driver and the position sensor, so there is nothing to match up, costs $39.99 each, and Amazon showed delivery Oct 18. Plain steppers with separate drivers (about $50 for two axes) were rejected as open-loop. I chose 12 V for the motor rail because a 12 V battery is much cheaper than a 24 V one, and my rule was: if it is not that much slower, go 12 V. The 24 V hedge came from my worry that a turret must move fast: the PCB parts are rated for 24 V so I can upgrade later without a new board.</t>
  </si>
  <si>
    <t xml:space="preserve">Motor is included per the listing title ('S42C V1.1 + Metal Protective Cover + Motor'). Voltage is not stated on the page; BTT's V1.0 manual rates 1.65 A at 12 V. Power it first from the bench supply at 12 V with about a 1 A current limit. Pinout in the V1.0 manual may differ from V1.1, so read the labels printed on your board. 30-day free returns if a unit is dead (some reviewers report dead units).</t>
  </si>
  <si>
    <t xml:space="preserve">Decided</t>
  </si>
  <si>
    <t xml:space="preserve">Mon Oct 19 (Amazon)</t>
  </si>
  <si>
    <t xml:space="preserve">Laser</t>
  </si>
  <si>
    <t xml:space="preserve">Laser module (lock-on indicator)</t>
  </si>
  <si>
    <t xml:space="preserve">AREALER 4-pack 5 mW 650 nm red dot laser modules, 5 V (Walmart item 14322024651)</t>
  </si>
  <si>
    <t xml:space="preserve">Walmart</t>
  </si>
  <si>
    <t xml:space="preserve">Free shipping; arrival date needs your ZIP code (not checked).</t>
  </si>
  <si>
    <t xml:space="preserve">I want the laser in Prototype 1 because I want to see the result of it firing when the model detects. I chose this cheap 4-pack ($7.61) over the $25 Quarton to save about $17 and said not to worry about the maker's power guarantee. 4 modules also means spares while I test the wiring.</t>
  </si>
  <si>
    <t xml:space="preserve">5 mW = Class 3R, ABOVE the project's 1 mW rule, and unbranded with no ratings, so the real power is unknown. Wall or paper target only, never aim at people, pets or shiny surfaces, never look into it. Do not call it Class 2.</t>
  </si>
  <si>
    <t xml:space="preserve">Mon Oct 19; check arrival ZIP</t>
  </si>
  <si>
    <t xml:space="preserve">Laser switch (transistor)</t>
  </si>
  <si>
    <t xml:space="preserve">Infineon IRLZ44NPBF logic-level MOSFET, single (Digi-Key 811808)</t>
  </si>
  <si>
    <t xml:space="preserve">An STM32 pin is too weak to power the laser by itself, so this small electronic switch lets the pin turn the laser on and off while the power comes from 5 V. I approved swapping the $8.99 Amazon 5-pack for 2 single parts at Digi-Key for $1.80 each, which saves about $5 and goes in the Digi-Key order I am already placing. Quantity 2 gives one spare.</t>
  </si>
  <si>
    <t xml:space="preserve">Qty 2 = one spare. $1.80 each, 45,069 in stock (checked Oct 17). Replaced the $8.99 Amazon 5-pack. Probably free from the ECE shop (any small logic-level MOSFET works).</t>
  </si>
  <si>
    <t xml:space="preserve">Mon Oct 19 (Digi-Key)</t>
  </si>
  <si>
    <t xml:space="preserve">Vision</t>
  </si>
  <si>
    <t xml:space="preserve">USB camera (final camera)</t>
  </si>
  <si>
    <t xml:space="preserve">Arducam 1080p HDR autofocus USB camera module, 78 deg diagonal, metal body (ASIN B0FX47YSJQ)</t>
  </si>
  <si>
    <t xml:space="preserve">Page showed free delivery Mon Oct 19 (order within ~8 hours of Oct 17 evening).</t>
  </si>
  <si>
    <t xml:space="preserve">My two reasons: (1) I want the model trained on the same camera the turret will actually use, because a different camera changes the picture quality and hurts training; (2) the camera mount in my CAD depends on the camera's exact size, so choosing the final camera now means I do not redo the CAD. I do NOT want to buy the Pi now, and the Pi camera only works on a Pi, so I needed a camera that plugs into both my laptop and the Pi later: a USB camera. I set a $27 ceiling and picked this Arducam for autofocus, a narrower 78-degree view, a 1 m cable in the box and a small metal body I can unscrew from its stand and mount in a printed holder. I accepted a cheaper picture than the $39-65 cameras and may upgrade once I am committed.</t>
  </si>
  <si>
    <t xml:space="preserve">You plan to unscrew it from its stand and mount just the case. When it arrives, check MJPG 1920x1080 at 30 fps is listed (v4l2-ctl --list-formats-ext on Linux, or OBS on your laptop); return it if not. Includes a 1 m USB cable with a JST connector. Only 22 ratings, 4.0 stars (100+ bought last month). The page does not list MJPEG, cable length, size or weight: get the dimensions before finishing the camera mount in CAD. Cheaper picture quality than the $39-65 cameras. Fallbacks: Arducam IMX219 autofocus $38.99 (B09BR1RNSN), ELP IMX362 $64.99 (B0DQNP1MP9).</t>
  </si>
  <si>
    <t xml:space="preserve">Today/Sat night for Mon Oct 19 delivery (Amazon)</t>
  </si>
  <si>
    <t xml:space="preserve">Power</t>
  </si>
  <si>
    <t xml:space="preserve">12 V wall adapter</t>
  </si>
  <si>
    <t xml:space="preserve">Facmogu 12 V 5 A, 60 W AC-DC adapter (ASIN B0711Q5B49)</t>
  </si>
  <si>
    <t xml:space="preserve">Needs check</t>
  </si>
  <si>
    <t xml:space="preserve">Not seen. Check the listing.</t>
  </si>
  <si>
    <t xml:space="preserve">I asked whether the turret could run from a simple laptop charger for now and do the battery later, because the battery set was expensive and I cannot spend $300 in one month. A 12 V 5 A wall adapter is the cheap answer: 12 V is the motor voltage I picked, and 5 A (60 W) covers the estimated peak of about 87 W with some margin. The ECE shop may have one for free, so I will check Monday before buying.</t>
  </si>
  <si>
    <t xml:space="preserve">Check the plug is 5.5x2.1 mm (the title does not say). The ECE shop may have a 12 V supply you can use.</t>
  </si>
  <si>
    <t xml:space="preserve">Barrel jack to screw terminals</t>
  </si>
  <si>
    <t xml:space="preserve">20-pack female DC barrel jack (5.5x2.1 mm) to screw terminal adapters (ASIN B0C4JJ2HB4)</t>
  </si>
  <si>
    <t xml:space="preserve">Lets me plug the wall adapter in and get two plain wires (+ and -) for the breadboard without cutting the adapter's cable. I wanted every part as its own row with its own link, with nothing bundled. The ECE shop may have a jack.</t>
  </si>
  <si>
    <t xml:space="preserve">Pack of 20, you need one. The ECE shop may have a barrel jack.</t>
  </si>
  <si>
    <t xml:space="preserve">Fuse holder</t>
  </si>
  <si>
    <t xml:space="preserve">Inline ATC (regular size) blade fuse holder, rated 15 A or more. Reference part: Bussmann #12, Hemlock SKU 580112</t>
  </si>
  <si>
    <t xml:space="preserve">Estimate</t>
  </si>
  <si>
    <t xml:space="preserve">Auto parts store / ECE shop (Hemlock = fallback)</t>
  </si>
  <si>
    <t xml:space="preserve">Same day at a local store (not checked). Hemlock fallback: in stock, 1-2 day delivery.</t>
  </si>
  <si>
    <t xml:space="preserve">I asked what a fuse is and why I need it: it is a cheap part that melts on a short circuit and cuts power before wires get hot, and the holder lets me replace it. I chose to skip the online store (Hemlock) because of its shipping cost and to buy at an auto parts store or get it from the ECE shop. Must be a regular ATC size, rated 15 A or more.</t>
  </si>
  <si>
    <t xml:space="preserve">Skip Hemlock (shipping). Buy at AutoZone/O'Reilly or ask the ECE shop. Must be regular ATC size (not Mini/Micro), 15 A or more, with thick wire. Price is a guess.</t>
  </si>
  <si>
    <t xml:space="preserve">Mon Oct 19 (local store)</t>
  </si>
  <si>
    <t xml:space="preserve">Fuse</t>
  </si>
  <si>
    <t xml:space="preserve">15 A regular-size ATC blade fuses, multi-pack. Reference part: Bussmann 4-pack, Hemlock SKU 573597</t>
  </si>
  <si>
    <t xml:space="preserve">Same reasoning as the holder: protects the wiring in a short. 15 A is above the estimated 10 A peak so it will not blow during normal motor bursts. I will buy local or from the ECE shop to avoid shipping.</t>
  </si>
  <si>
    <t xml:space="preserve">Buy spares. If it blows, find out why before replacing it.</t>
  </si>
  <si>
    <t xml:space="preserve">Spike protector (TVS diode)</t>
  </si>
  <si>
    <t xml:space="preserve">Littelfuse SMCJ15A, 15 V standoff, DO-214AB</t>
  </si>
  <si>
    <t xml:space="preserve">Motors switching on and off create brief voltage spikes far above 12 V, and this part clamps them so they cannot hurt the drivers or the chip. It fits my 24 V upgrade hedge (I swap it for a higher-voltage version if I move to 24 V). It costs $0.99.</t>
  </si>
  <si>
    <t xml:space="preserve">Use digikey.com, not the Australian site. Price/stock came from Grok, not confirmed by me (I confirmed the part and its 24.4 V clamp). If you move to 24 V later, swap this for a higher-voltage version.</t>
  </si>
  <si>
    <t xml:space="preserve">Bulk capacitor</t>
  </si>
  <si>
    <t xml:space="preserve">1000 uF, 35 V electrolytic. Fallback: Lumenier XT60 pigtail + 35 V 1000 uF capacitor, 12 AWG, 3-pack (GetFPV)</t>
  </si>
  <si>
    <t xml:space="preserve">GetFPV (fallback)</t>
  </si>
  <si>
    <t xml:space="preserve">Site said in stock, same-day shipping (checked earlier).</t>
  </si>
  <si>
    <t xml:space="preserve">A small water tank for electricity that smooths the motors' power gulps. I can probably get general parts like this free from the Purdue ECE shop, so it is qty 0 unless they have none.</t>
  </si>
  <si>
    <t xml:space="preserve">Qty 0 because the ECE shop likely has a 1000 uF / 35 V capacitor for free. Only buy this pack if they do not.</t>
  </si>
  <si>
    <t xml:space="preserve">Oct 19 (ECE shop)</t>
  </si>
  <si>
    <t xml:space="preserve">Only if ECE has none: by Oct 22</t>
  </si>
  <si>
    <t xml:space="preserve">Wiring</t>
  </si>
  <si>
    <t xml:space="preserve">Breadboard, jumper wires, USB cable</t>
  </si>
  <si>
    <t xml:space="preserve">Already owned</t>
  </si>
  <si>
    <t xml:space="preserve">Owned</t>
  </si>
  <si>
    <t xml:space="preserve">n/a</t>
  </si>
  <si>
    <t xml:space="preserve">I already have wires and probably a USB cable, so these are not bought.</t>
  </si>
  <si>
    <t xml:space="preserve">Need a USB cable that matches the Nucleo's port. Check what it uses.</t>
  </si>
  <si>
    <t xml:space="preserve">USB data cable for the Nucleo (only if needed)</t>
  </si>
  <si>
    <t xml:space="preserve">USB data cable matching the Nucleo's programming connector (Type-C, Micro-B or Mini-B)</t>
  </si>
  <si>
    <t xml:space="preserve">Own / ECE shop / Amazon</t>
  </si>
  <si>
    <t xml:space="preserve">I have a Type-C cable for sure and will buy a Micro-B or Mini-B data cable only if the Nucleo needs one (about $5).</t>
  </si>
  <si>
    <t xml:space="preserve">ST's page says the programming connector can be Type-C, Micro-B or Mini-B depending on the board. Check the board photo or the ECE shop board. It must be a data cable, not charge-only.</t>
  </si>
  <si>
    <t xml:space="preserve">Oct 19 (check the Nucleo connector)</t>
  </si>
  <si>
    <t xml:space="preserve">Only if needed</t>
  </si>
  <si>
    <t xml:space="preserve">Mechanical</t>
  </si>
  <si>
    <t xml:space="preserve">Screws, standoffs, fasteners</t>
  </si>
  <si>
    <t xml:space="preserve">M3 screw assortment (motor mounts are M3 on NEMA 17) plus whatever your CAD needs</t>
  </si>
  <si>
    <t xml:space="preserve">Amazon / hardware store</t>
  </si>
  <si>
    <t xml:space="preserve">I have access to a 3D printer, so I print the pan-tilt frame and the camera holder, and I can only list exact screw sizes after the CAD is done. I do not own screws but can get them. This $15 is a placeholder.</t>
  </si>
  <si>
    <t xml:space="preserve">Allowance only. Finish the CAD, then list exact screw sizes and lengths before buying. You can print the structure yourself.</t>
  </si>
  <si>
    <t xml:space="preserve">After CAD is done (~Oct 24)</t>
  </si>
  <si>
    <t xml:space="preserve">~Oct 24-26, before first build</t>
  </si>
  <si>
    <t xml:space="preserve">Test</t>
  </si>
  <si>
    <t xml:space="preserve">Multimeter</t>
  </si>
  <si>
    <t xml:space="preserve">Borrowed from a lab or a friend</t>
  </si>
  <si>
    <t xml:space="preserve">Borrowed</t>
  </si>
  <si>
    <t xml:space="preserve">To measure voltage and find shorts before connecting anything expensive. Borrowed.</t>
  </si>
  <si>
    <t xml:space="preserve">Bench supply: use a ~1 A current limit for first power-up.</t>
  </si>
  <si>
    <t xml:space="preserve">PROTOTYPE 1 TOTAL</t>
  </si>
  <si>
    <t xml:space="preserve">PCB - order by Nov 2 (ships during exam dead zone). Parts depend on your design. Prices are estimates.</t>
  </si>
  <si>
    <t xml:space="preserve">PCB</t>
  </si>
  <si>
    <t xml:space="preserve">DECISION (pinned): power input connector on PCB</t>
  </si>
  <si>
    <t xml:space="preserve">Suggested: screw terminal (takes a wall adapter now, a battery later)</t>
  </si>
  <si>
    <t xml:space="preserve">Open</t>
  </si>
  <si>
    <t xml:space="preserve">I chose option D on Oct 17: a barrel jack AND an XT60 battery connector footprint, only one connected at a time. The wall adapter plugs into the barrel jack today and cannot go in backwards; a battery drops into the XT60 later with no redesign. A bare screw terminal was rejected because it can be wired backwards and loosen from vibration. The PCB is only ordered once, so the way power enters has to be right the first time.</t>
  </si>
  <si>
    <t xml:space="preserve">Pinned. Discuss after the other open items. Not a purchase.</t>
  </si>
  <si>
    <t xml:space="preserve">Oct 30 (PCB design)</t>
  </si>
  <si>
    <t xml:space="preserve">PCB fabrication</t>
  </si>
  <si>
    <t xml:space="preserve">5 boards, 2 layers, from JLCPCB or PCBWay (your design)</t>
  </si>
  <si>
    <t xml:space="preserve">JLCPCB / PCBWay</t>
  </si>
  <si>
    <t xml:space="preserve">Order by Nov 2.</t>
  </si>
  <si>
    <t xml:space="preserve">I will not compromise on the custom PCB: it is the hardware half of my resume line. The board is a carrier board that the Nucleo plugs into, which I chose over a bare-chip board to cut risk (no fine-pitch chip soldering, no chip start-up problems) while keeping a real PCB design with real soldering. It must be ordered by Nov 2 so it ships during the exam dead zone.</t>
  </si>
  <si>
    <t xml:space="preserve">Estimate includes shipping. Get a quote when the design is done.</t>
  </si>
  <si>
    <t xml:space="preserve">Design done Oct 30</t>
  </si>
  <si>
    <t xml:space="preserve">By Nov 2</t>
  </si>
  <si>
    <t xml:space="preserve">Microcontroller chip (OPTIONAL, not counted)</t>
  </si>
  <si>
    <t xml:space="preserve">STM32G474 (package chosen in your design), same family as the Nucleo</t>
  </si>
  <si>
    <t xml:space="preserve">Order with the PCB.</t>
  </si>
  <si>
    <t xml:space="preserve">Optional and not counted, my call. The Nucleo stays on the carrier board, so the bare chip is only needed if I later go chip-down. The price was found on a Digi-Key search result.</t>
  </si>
  <si>
    <t xml:space="preserve">Optional for now: the PCB is a carrier board that the Nucleo plugs into, so the chip stays on the Nucleo. Only needed if you later go chip-down (your own chip on your own board). STM32G474RET6 (64-pin LQFP) was $10.70 on a Digi-Key search result; check stock if you do.</t>
  </si>
  <si>
    <t xml:space="preserve">Only if going chip-down</t>
  </si>
  <si>
    <t xml:space="preserve">Only if going chip-down (buy 2)</t>
  </si>
  <si>
    <t xml:space="preserve">5 V module for the Pi - OPTION A (counted)</t>
  </si>
  <si>
    <t xml:space="preserve">Pololu D24V50F5, 5 V 5 A step-down regulator (item 2851)</t>
  </si>
  <si>
    <t xml:space="preserve">Pololu</t>
  </si>
  <si>
    <t xml:space="preserve">220 in stock (Oct 17). Order with the PCB.</t>
  </si>
  <si>
    <t xml:space="preserve">The Pi needs a steady 5 V at about 5 A. I asked which design was more time-efficient and looked cleaner and more professional, and chose to have the PCB power the Pi, because I need the PCB by Prototype 2/3 anyway. A ready-made module that plugs into a socket means no regulator design. Option A is the known-good one from Pololu. I said to hold the choice for about a week (around Oct 24).</t>
  </si>
  <si>
    <t xml:space="preserve">Known-good option. Needed for the final PCB (Prototype 3). In Prototype 2 the Pi runs on its wall supply instead. Option B below is cheaper but unproven.</t>
  </si>
  <si>
    <t xml:space="preserve">~Oct 24 (a week out); before PCB layout</t>
  </si>
  <si>
    <t xml:space="preserve">With the PCB, Nov 1-3</t>
  </si>
  <si>
    <t xml:space="preserve">5 V module for the Pi - OPTION B (not counted)</t>
  </si>
  <si>
    <t xml:space="preserve">Generic 24V/12V to 5V 5A buck module, AliExpress (listing 3256809254781510)</t>
  </si>
  <si>
    <t xml:space="preserve">AliExpress</t>
  </si>
  <si>
    <t xml:space="preserve">Ships from China, likely 1-3 weeks (not checked).</t>
  </si>
  <si>
    <t xml:space="preserve">A much cheaper alternative I found, kept as a second option. The seller's 5 A claim needs testing with a meter before it ever powers a Pi. I will decide between A and B in about a week.</t>
  </si>
  <si>
    <t xml:space="preserve">The two options for the 5 V part are A (Pololu) and B (this). $5.24 normal price, 4.8 stars from only 58 reviews. The '5 A' claim is doubtful on this type of board; test with a meter and a dummy load before connecting a Pi. Footprint differs from Option A, so pick before the PCB layout is final.</t>
  </si>
  <si>
    <t xml:space="preserve">~Oct 24 (a week out)</t>
  </si>
  <si>
    <t xml:space="preserve">If chosen: by Oct 24 (China, 1-3 weeks)</t>
  </si>
  <si>
    <t xml:space="preserve">Connectors, passives, headers</t>
  </si>
  <si>
    <t xml:space="preserve">Screw terminals, female headers for the Nucleo to plug into, resistors, capacitors for the PCB</t>
  </si>
  <si>
    <t xml:space="preserve">ECE shop / Digi-Key</t>
  </si>
  <si>
    <t xml:space="preserve">The small parts that finish the board. General items like these may be free from the Purdue ECE shop, so much of this may cost nothing.</t>
  </si>
  <si>
    <t xml:space="preserve">Much of this may be free from the ECE shop.</t>
  </si>
  <si>
    <t xml:space="preserve">Oct 30</t>
  </si>
  <si>
    <t xml:space="preserve">Nov 1-3</t>
  </si>
  <si>
    <t xml:space="preserve">PCB TOTAL</t>
  </si>
  <si>
    <t xml:space="preserve">PROTOTYPE 2 - order about Nov 17 (Pi wired to motors, live tracking)</t>
  </si>
  <si>
    <t xml:space="preserve">Raspberry Pi 5 (8 GB)</t>
  </si>
  <si>
    <t xml:space="preserve">Raspberry Pi 5 8GB, board only (CanaKit SKU PI5-8GB)</t>
  </si>
  <si>
    <t xml:space="preserve">P2</t>
  </si>
  <si>
    <t xml:space="preserve">CanaKit</t>
  </si>
  <si>
    <t xml:space="preserve">In stock per the page; shipping time not checked.</t>
  </si>
  <si>
    <t xml:space="preserve">I chose the 8 GB version and said I did not want the 4 GB: the RAM cannot be upgraded later, and the extra room helps with bigger models and the semester 2 drone work. I decided NOT to buy the Pi now; it is a Prototype 2 purchase, ordered by about Nov 13. Training happens on my laptop or Colab, and the Pi only runs the finished model.</t>
  </si>
  <si>
    <t xml:space="preserve">PiShop also lists $175. Adafruit lists $200. The 4 GB is $110 at CanaKit (not chosen).</t>
  </si>
  <si>
    <t xml:space="preserve">Pi + camera timing: see open question</t>
  </si>
  <si>
    <t xml:space="preserve">By Nov 13 (arrive before Nov 20) unless pulled forward</t>
  </si>
  <si>
    <t xml:space="preserve">Pi power supply</t>
  </si>
  <si>
    <t xml:space="preserve">RasTech 27 W GaN USB-C PD supply, 5.1 V 5 A for Raspberry Pi 5 (ASIN B0CLV6WB4L)</t>
  </si>
  <si>
    <t xml:space="preserve">In Prototype 2 the Pi runs from its own wall supply so a bug in the brand-new PCB cannot ruin the checkpoint. The Pi wants 5 V at 5 A; a weaker charger can make it crash.</t>
  </si>
  <si>
    <t xml:space="preserve">Official Pi 27 W supply is $22.91 on Amazon if you want the safest option. Check reviews for 5 A output.</t>
  </si>
  <si>
    <t xml:space="preserve">Nov 10</t>
  </si>
  <si>
    <t xml:space="preserve">By Nov 13</t>
  </si>
  <si>
    <t xml:space="preserve">Pi cooler</t>
  </si>
  <si>
    <t xml:space="preserve">Raspberry Pi 5 Active Cooler (CanaKit SKU RSP-ACTIVE-COOLER)</t>
  </si>
  <si>
    <t xml:space="preserve">In stock per the page.</t>
  </si>
  <si>
    <t xml:space="preserve">Running the model makes the Pi hot and a hot Pi slows itself down. A heatsink with a small fan keeps it fast during a demo. A passive heatsink from the ECE shop may do.</t>
  </si>
  <si>
    <t xml:space="preserve">Order with the Pi to save shipping. A passive heatsink from the ECE shop may work if it is cooler where you test.</t>
  </si>
  <si>
    <t xml:space="preserve">Coral USB Accelerator (optional)</t>
  </si>
  <si>
    <t xml:space="preserve">Google Coral USB Accelerator, Edge TPU, model G950-01456-01 (Amazon listing B07S214S5Y)</t>
  </si>
  <si>
    <t xml:space="preserve">Amazon search result showed delivery Fri Oct 23 (confirm at checkout).</t>
  </si>
  <si>
    <t xml:space="preserve">I asked what I lose without it and why I need another chip to run the model. Answer: the Pi 5's own chip probably runs the model fast enough, and a benchmark says the Pi 5 is about on par for this kind of model. I chose to PIN it as optional because it plugs into the Pi over USB, so adding it later changes nothing on the PCB or the wiring. The price swings from $89 to $200 and the Newark listing will not deliver until 2027. I decide at P2 after measuring the Pi alone.</t>
  </si>
  <si>
    <t xml:space="preserve">Qty 0 so it is not counted. Prices for the same product vary by seller ($108.99 to $199.99 on Amazon; this $135.00 listing is the one you picked). Newark lists it at $89.35 (https://www.newark.com/coral/g950-01456-01/usb-accelerator-raspberry-pi/dp/26AJ4884) but says deliveries start 1/10/2027 and the lead time is 41 weeks, so it will not arrive before Dec 12. Evidence that you may not need it: Hackster's benchmark says Pi 5 TFLite performance is roughly on par with the Coral for MobileNet SSD models, and a Pi 4 CPU manages 2-5 fps.</t>
  </si>
  <si>
    <t xml:space="preserve">Nov 24 (after measuring the Pi alone)</t>
  </si>
  <si>
    <t xml:space="preserve">microSD card</t>
  </si>
  <si>
    <t xml:space="preserve">32 GB or larger microSD card</t>
  </si>
  <si>
    <t xml:space="preserve">ECE shop or own</t>
  </si>
  <si>
    <t xml:space="preserve">The Pi boots from this and stores the model. Probably free from the ECE shop or a card I already own.</t>
  </si>
  <si>
    <t xml:space="preserve">Probably free from the ECE shop or a card you already own.</t>
  </si>
  <si>
    <t xml:space="preserve">By Nov 13 (or ECE shop)</t>
  </si>
  <si>
    <t xml:space="preserve">PROTOTYPE 2 TOTAL</t>
  </si>
  <si>
    <t xml:space="preserve">OPTIONAL / NOT COUNTED (qty 0): battery set and alternatives. Decide in late November.</t>
  </si>
  <si>
    <t xml:space="preserve">Battery charger</t>
  </si>
  <si>
    <t xml:space="preserve">Waveshare PSU-12.6V2A-5.5-2.1-US (12.6 V, 2 A)</t>
  </si>
  <si>
    <t xml:space="preserve">P3</t>
  </si>
  <si>
    <t xml:space="preserve">Waveshare</t>
  </si>
  <si>
    <t xml:space="preserve">Not verified.</t>
  </si>
  <si>
    <t xml:space="preserve">I decided no battery pack yet. The battery set is optional and not counted; I can add it later once I am committed to the project. Needed only if I build the pack.</t>
  </si>
  <si>
    <t xml:space="preserve">Only needed if you build the battery pack.</t>
  </si>
  <si>
    <t xml:space="preserve">Late November</t>
  </si>
  <si>
    <t xml:space="preserve">Only if building a battery</t>
  </si>
  <si>
    <t xml:space="preserve">Power switch + reverse-polarity protection</t>
  </si>
  <si>
    <t xml:space="preserve">Pololu Big Pushbutton Power Switch with Reverse Voltage Protection, HP (item #2813)</t>
  </si>
  <si>
    <t xml:space="preserve">Pololu ships same day from Las Vegas; confirm at checkout.</t>
  </si>
  <si>
    <t xml:space="preserve">Part of the optional battery set I decided to hold off on. A push-button switch that also blocks a backwards battery.</t>
  </si>
  <si>
    <t xml:space="preserve">Not an emergency cutoff. Only needed with the battery.</t>
  </si>
  <si>
    <t xml:space="preserve">Battery pack</t>
  </si>
  <si>
    <t xml:space="preserve">3S2P 18650 pack with BMS, &gt;= 6 Ah, BMS &gt;= 15 A. Build or buy decided at P3</t>
  </si>
  <si>
    <t xml:space="preserve">TBD</t>
  </si>
  <si>
    <t xml:space="preserve">I asked why the battery is so expensive and chose to leave it out for now and run from the wall adapter. Buy-or-build is a late-November decision; the price is an estimate for a DIY pack.</t>
  </si>
  <si>
    <t xml:space="preserve">Price is my estimate for a DIY pack ($40-45). Pre-made packs I found miss the current spec or lack a stated BMS.</t>
  </si>
  <si>
    <t xml:space="preserve">ALTERNATIVE: Stepper motor (pan + tilt)</t>
  </si>
  <si>
    <t xml:space="preserve">STEPPERONLINE NEMA 17 bipolar stepper, 2 A, 59 Ncm, 48 mm body, 1 m cable (ASIN B00PNEQKC0)</t>
  </si>
  <si>
    <t xml:space="preserve">ALT</t>
  </si>
  <si>
    <t xml:space="preserve">Amazon Prime. Listing showed free delivery Sun Oct 18 (confirm at checkout).</t>
  </si>
  <si>
    <t xml:space="preserve">Not counted. I went back to closed-loop kits; this open-loop option stays only as a fallback.</t>
  </si>
  <si>
    <t xml:space="preserve">Not counted: we went back to closed-loop kits. Plain (open-loop) stepper: no position sensor. Fine for a light load. Encoder feedback is a stretch goal.</t>
  </si>
  <si>
    <t xml:space="preserve">ALTERNATIVE: Stepper driver (pan + tilt)</t>
  </si>
  <si>
    <t xml:space="preserve">BIGTREETECH TMC2209 V1.3 stepper driver module, STEP/DIR + UART (ASIN B07ZPV4HFP)</t>
  </si>
  <si>
    <t xml:space="preserve">Amazon Prime. Listing showed free delivery Mon Oct 19 (confirm at checkout).</t>
  </si>
  <si>
    <t xml:space="preserve">Not counted: we went back to closed-loop kits. The title says one module but a bullet mentions '4PCS'. Open the page and check the quantity before ordering. If it is a single, buy 2. Set the current limit to about 1.2-1.5 A.</t>
  </si>
  <si>
    <t xml:space="preserve">SHIPPING AND TAX ALLOWANCE (counted). Estimate until you check out.</t>
  </si>
  <si>
    <t xml:space="preserve">Allowance</t>
  </si>
  <si>
    <t xml:space="preserve">Shipping + tax allowance</t>
  </si>
  <si>
    <t xml:space="preserve">Digi-Key (~$8-10), CanaKit (~$10-15), Hemlock (~$6), Indiana sales tax on non-Amazon orders, plus a cushion</t>
  </si>
  <si>
    <t xml:space="preserve">SHIP</t>
  </si>
  <si>
    <t xml:space="preserve">So the total is closer to what actually leaves my account. I said not to fret too much about the budget because a friend may help fund the build in exchange for a resume credit.</t>
  </si>
  <si>
    <t xml:space="preserve">Amazon Prime items ship free. Replace this number with the real checkout totals as you order.</t>
  </si>
  <si>
    <t xml:space="preserve">China orders + unknowns allowance</t>
  </si>
  <si>
    <t xml:space="preserve">AliExpress/Alibaba orders (slow shipping, tax), plus parts you find you need once you start building</t>
  </si>
  <si>
    <t xml:space="preserve">I want to budget for orders from China (slow shipping, tax) and for surprises I will only find once I start building.</t>
  </si>
  <si>
    <t xml:space="preserve">A guess. Replace it with real numbers as you go; delete whatever you do not use.</t>
  </si>
  <si>
    <t xml:space="preserve">SHIPPING + TAX ALLOWANCE TOTAL</t>
  </si>
  <si>
    <t xml:space="preserve">GRAND TOTAL (all counted rows: P1 + PCB + P2 + shipping/tax)</t>
  </si>
  <si>
    <t xml:space="preserve">Budget summary</t>
  </si>
  <si>
    <t xml:space="preserve">Budget target ($)</t>
  </si>
  <si>
    <t xml:space="preserve">Your target. Change it here and everything below updates. Shipping and tax are NOT in these numbers.</t>
  </si>
  <si>
    <t xml:space="preserve">Prototype 1 (order now)</t>
  </si>
  <si>
    <t xml:space="preserve">Closed-loop kits, dev board, laser, power parts.</t>
  </si>
  <si>
    <t xml:space="preserve">PCB (order by Nov 2)</t>
  </si>
  <si>
    <t xml:space="preserve">Estimates; depends on your design.</t>
  </si>
  <si>
    <t xml:space="preserve">Prototype 2 (order ~Nov 17)</t>
  </si>
  <si>
    <t xml:space="preserve">Pi 5 8 GB, power supply, cooler, Camera Module 3, cable.</t>
  </si>
  <si>
    <t xml:space="preserve">Shipping + tax allowance (estimate)</t>
  </si>
  <si>
    <t xml:space="preserve">Replace with real checkout totals.</t>
  </si>
  <si>
    <t xml:space="preserve">Prototype 3 / optional (battery)</t>
  </si>
  <si>
    <t xml:space="preserve">Qty 0 right now, so not counted. Coral is also not counted (see Coral row).</t>
  </si>
  <si>
    <t xml:space="preserve">TOTAL (counted rows)</t>
  </si>
  <si>
    <t xml:space="preserve">Remaining vs target</t>
  </si>
  <si>
    <t xml:space="preserve">Negative (red) means over target.</t>
  </si>
  <si>
    <t xml:space="preserve">If you add the battery set later (reference)</t>
  </si>
  <si>
    <t xml:space="preserve">Charger + switch + pack estimate.</t>
  </si>
  <si>
    <t xml:space="preserve">Decide at P2 after measuring the Pi alone.</t>
  </si>
  <si>
    <t xml:space="preserve">GRAND TOTAL WITHOUT optional items</t>
  </si>
  <si>
    <t xml:space="preserve">Everything you actually need, incl. shipping/tax allowance.</t>
  </si>
  <si>
    <t xml:space="preserve">GRAND TOTAL WITH optional items</t>
  </si>
  <si>
    <t xml:space="preserve">Adds battery set + Coral.</t>
  </si>
  <si>
    <t xml:space="preserve">Counted rows still 'Estimate' or unpriced</t>
  </si>
  <si>
    <t xml:space="preserve">Rows whose price is a guess or missing.</t>
  </si>
  <si>
    <t xml:space="preserve">Counted rows marked Verified</t>
  </si>
  <si>
    <t xml:space="preserve">Seen on the live listing.</t>
  </si>
  <si>
    <t xml:space="preserve">Things the Purdue ECE shop might cover (ask)</t>
  </si>
  <si>
    <t xml:space="preserve">- Nucleo dev board (saves $20)</t>
  </si>
  <si>
    <t xml:space="preserve">- 12 V adapter, barrel jack, fuse holder, 1000 uF capacitor, MOSFET (saves ~$30-40)</t>
  </si>
  <si>
    <t xml:space="preserve">- microSD card, spare wire and connectors</t>
  </si>
  <si>
    <t xml:space="preserve">I opened the live product page and saw this price and stock.</t>
  </si>
  <si>
    <t xml:space="preserve">Price came from a search result or a detail is unconfirmed. Check it before buying.</t>
  </si>
  <si>
    <t xml:space="preserve">My guess. No listing yet.</t>
  </si>
  <si>
    <t xml:space="preserve">Owned / Borrowed</t>
  </si>
  <si>
    <t xml:space="preserve">Not purchased, not counted.</t>
  </si>
  <si>
    <t xml:space="preserve">Qty 0</t>
  </si>
  <si>
    <t xml:space="preserve">Not counted in totals (owned, optional, or an alternative).</t>
  </si>
  <si>
    <t xml:space="preserve">Yellow cells</t>
  </si>
  <si>
    <t xml:space="preserve">CAD and KiCad footprints, filled in later.</t>
  </si>
  <si>
    <t xml:space="preserve">Safety</t>
  </si>
  <si>
    <t xml:space="preserve">Laser must be 1 mW or less (Class 2). Never aim it at people or mirrors. The Amazon $15.99 'Class 3R' module is NOT used.</t>
  </si>
</sst>
</file>

<file path=xl/styles.xml><?xml version="1.0" encoding="utf-8"?>
<styleSheet xmlns="http://schemas.openxmlformats.org/spreadsheetml/2006/main">
  <numFmts count="4">
    <numFmt numFmtId="164" formatCode="General"/>
    <numFmt numFmtId="165" formatCode="\$#,##0.00;&quot;($&quot;#,##0.00\);\-"/>
    <numFmt numFmtId="166" formatCode="\$#,##0.00"/>
    <numFmt numFmtId="167" formatCode="\$#,##0.00;[RED]&quot;($&quot;#,##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
      <u val="single"/>
      <sz val="10"/>
      <color rgb="FF0563C1"/>
      <name val="Arial"/>
      <family val="0"/>
      <charset val="1"/>
    </font>
    <font>
      <b val="true"/>
      <sz val="11"/>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FFFF99"/>
        <bgColor rgb="FFFFFFCC"/>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6" fontId="11" fillId="2" borderId="1"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digikey.com/en/products/detail/stmicroelectronics/NUCLEO-G474RE/10231585" TargetMode="External"/><Relationship Id="rId2" Type="http://schemas.openxmlformats.org/officeDocument/2006/relationships/hyperlink" Target="https://www.amazon.com/dp/B09LHFS2HF" TargetMode="External"/><Relationship Id="rId3" Type="http://schemas.openxmlformats.org/officeDocument/2006/relationships/hyperlink" Target="https://www.walmart.com/ip/4pcs-5mW-650nm-Laser-Transmitter-Module-Red-Dot-Diode-for-Sensor-Projects/14322024651" TargetMode="External"/><Relationship Id="rId4" Type="http://schemas.openxmlformats.org/officeDocument/2006/relationships/hyperlink" Target="https://www.digikey.com/en/products/detail/infineon-technologies/IRLZ44NPBF/811808" TargetMode="External"/><Relationship Id="rId5" Type="http://schemas.openxmlformats.org/officeDocument/2006/relationships/hyperlink" Target="https://www.amazon.com/dp/B0FX47YSJQ" TargetMode="External"/><Relationship Id="rId6" Type="http://schemas.openxmlformats.org/officeDocument/2006/relationships/hyperlink" Target="https://www.amazon.com/dp/B0711Q5B49" TargetMode="External"/><Relationship Id="rId7" Type="http://schemas.openxmlformats.org/officeDocument/2006/relationships/hyperlink" Target="https://www.amazon.com/dp/B0C4JJ2HB4" TargetMode="External"/><Relationship Id="rId8" Type="http://schemas.openxmlformats.org/officeDocument/2006/relationships/hyperlink" Target="https://hemlockhardware.com/products/580112-bussmann-20-amp-12-atc-inline-blade-fuse-holder" TargetMode="External"/><Relationship Id="rId9" Type="http://schemas.openxmlformats.org/officeDocument/2006/relationships/hyperlink" Target="https://hemlockhardware.com/products/573597-bussmann-15-amp-32-volt-atc-blade-automotive-fuse-4-pack" TargetMode="External"/><Relationship Id="rId10" Type="http://schemas.openxmlformats.org/officeDocument/2006/relationships/hyperlink" Target="https://www.digikey.com/en/products/detail/littelfuse-inc/SMCJ15A/762382" TargetMode="External"/><Relationship Id="rId11" Type="http://schemas.openxmlformats.org/officeDocument/2006/relationships/hyperlink" Target="https://www.getfpv.com/black-xt60-lipo-pigtail-w-35v-1000uf-capacitor-12awg-3pcs.html" TargetMode="External"/><Relationship Id="rId12" Type="http://schemas.openxmlformats.org/officeDocument/2006/relationships/hyperlink" Target="https://www.digikey.com/en/products/result?keywords=STM32G474RET6" TargetMode="External"/><Relationship Id="rId13" Type="http://schemas.openxmlformats.org/officeDocument/2006/relationships/hyperlink" Target="https://www.pololu.com/product/2851" TargetMode="External"/><Relationship Id="rId14" Type="http://schemas.openxmlformats.org/officeDocument/2006/relationships/hyperlink" Target="https://www.aliexpress.us/item/3256809254781510.html" TargetMode="External"/><Relationship Id="rId15" Type="http://schemas.openxmlformats.org/officeDocument/2006/relationships/hyperlink" Target="https://www.canakit.com/raspberry-pi-5-8gb.html" TargetMode="External"/><Relationship Id="rId16" Type="http://schemas.openxmlformats.org/officeDocument/2006/relationships/hyperlink" Target="https://www.amazon.com/dp/B0CLV6WB4L" TargetMode="External"/><Relationship Id="rId17" Type="http://schemas.openxmlformats.org/officeDocument/2006/relationships/hyperlink" Target="https://www.canakit.com/raspberry-pi-5-active-cooler.html" TargetMode="External"/><Relationship Id="rId18" Type="http://schemas.openxmlformats.org/officeDocument/2006/relationships/hyperlink" Target="https://www.amazon.com/dp/B07S214S5Y" TargetMode="External"/><Relationship Id="rId19" Type="http://schemas.openxmlformats.org/officeDocument/2006/relationships/hyperlink" Target="https://www.waveshare.com/product/psu-12.6v2a-5.5-2.1-eu.htm" TargetMode="External"/><Relationship Id="rId20" Type="http://schemas.openxmlformats.org/officeDocument/2006/relationships/hyperlink" Target="https://www.pololu.com/product/2813" TargetMode="External"/><Relationship Id="rId21" Type="http://schemas.openxmlformats.org/officeDocument/2006/relationships/hyperlink" Target="https://www.amazon.com/dp/B00PNEQKC0" TargetMode="External"/><Relationship Id="rId22" Type="http://schemas.openxmlformats.org/officeDocument/2006/relationships/hyperlink" Target="https://www.amazon.com/dp/B07ZPV4HFP"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
    <col collapsed="false" customWidth="true" hidden="false" outlineLevel="0" max="3" min="3" style="0" width="22"/>
    <col collapsed="false" customWidth="true" hidden="false" outlineLevel="0" max="4" min="4" style="0" width="42"/>
    <col collapsed="false" customWidth="true" hidden="false" outlineLevel="0" max="5" min="5" style="0" width="6"/>
    <col collapsed="false" customWidth="true" hidden="false" outlineLevel="0" max="6" min="6" style="0" width="10"/>
    <col collapsed="false" customWidth="true" hidden="false" outlineLevel="0" max="7" min="7" style="0" width="14"/>
    <col collapsed="false" customWidth="true" hidden="false" outlineLevel="0" max="9" min="8" style="0" width="11"/>
    <col collapsed="false" customWidth="true" hidden="false" outlineLevel="0" max="10" min="10" style="0" width="16"/>
    <col collapsed="false" customWidth="true" hidden="false" outlineLevel="0" max="11" min="11" style="0" width="8"/>
    <col collapsed="false" customWidth="true" hidden="false" outlineLevel="0" max="12" min="12" style="0" width="26"/>
    <col collapsed="false" customWidth="true" hidden="false" outlineLevel="0" max="13" min="13" style="0" width="90"/>
    <col collapsed="false" customWidth="true" hidden="false" outlineLevel="0" max="15" min="14" style="0" width="16"/>
    <col collapsed="false" customWidth="true" hidden="false" outlineLevel="0" max="16" min="16" style="0" width="56"/>
    <col collapsed="false" customWidth="true" hidden="false" outlineLevel="0" max="17" min="17" style="0" width="26"/>
    <col collapsed="false" customWidth="true" hidden="false" outlineLevel="0" max="18" min="18" style="0" width="30"/>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customFormat="false" ht="19.5" hidden="false" customHeight="true" outlineLevel="0" collapsed="false">
      <c r="A5" s="4" t="s">
        <v>20</v>
      </c>
      <c r="B5" s="4"/>
      <c r="C5" s="4"/>
      <c r="D5" s="4"/>
      <c r="E5" s="4"/>
      <c r="F5" s="4"/>
      <c r="G5" s="4"/>
      <c r="H5" s="4"/>
      <c r="I5" s="4"/>
      <c r="J5" s="4"/>
      <c r="K5" s="4"/>
      <c r="L5" s="4"/>
      <c r="M5" s="4"/>
      <c r="N5" s="4"/>
      <c r="O5" s="4"/>
      <c r="P5" s="4"/>
      <c r="Q5" s="4"/>
      <c r="R5" s="4"/>
    </row>
    <row r="6" customFormat="false" ht="103.5" hidden="false" customHeight="true" outlineLevel="0" collapsed="false">
      <c r="A6" s="5" t="n">
        <v>1</v>
      </c>
      <c r="B6" s="6" t="s">
        <v>21</v>
      </c>
      <c r="C6" s="6" t="s">
        <v>22</v>
      </c>
      <c r="D6" s="6" t="s">
        <v>23</v>
      </c>
      <c r="E6" s="7" t="n">
        <v>1</v>
      </c>
      <c r="F6" s="5" t="s">
        <v>24</v>
      </c>
      <c r="G6" s="5" t="s">
        <v>25</v>
      </c>
      <c r="H6" s="8" t="n">
        <v>20.13</v>
      </c>
      <c r="I6" s="9" t="n">
        <f aca="false">IF(H6="","",E6*H6)</f>
        <v>20.13</v>
      </c>
      <c r="J6" s="6" t="s">
        <v>26</v>
      </c>
      <c r="K6" s="10" t="s">
        <v>12</v>
      </c>
      <c r="L6" s="6" t="s">
        <v>27</v>
      </c>
      <c r="M6" s="6" t="s">
        <v>28</v>
      </c>
      <c r="N6" s="11"/>
      <c r="O6" s="11"/>
      <c r="P6" s="6" t="s">
        <v>29</v>
      </c>
      <c r="Q6" s="6" t="s">
        <v>30</v>
      </c>
      <c r="R6" s="6" t="s">
        <v>31</v>
      </c>
    </row>
    <row r="7" customFormat="false" ht="129.75" hidden="false" customHeight="true" outlineLevel="0" collapsed="false">
      <c r="A7" s="5" t="n">
        <v>2</v>
      </c>
      <c r="B7" s="6" t="s">
        <v>32</v>
      </c>
      <c r="C7" s="6" t="s">
        <v>33</v>
      </c>
      <c r="D7" s="6" t="s">
        <v>34</v>
      </c>
      <c r="E7" s="7" t="n">
        <v>2</v>
      </c>
      <c r="F7" s="5" t="s">
        <v>24</v>
      </c>
      <c r="G7" s="5" t="s">
        <v>25</v>
      </c>
      <c r="H7" s="8" t="n">
        <v>39.99</v>
      </c>
      <c r="I7" s="9" t="n">
        <f aca="false">IF(H7="","",E7*H7)</f>
        <v>79.98</v>
      </c>
      <c r="J7" s="6" t="s">
        <v>35</v>
      </c>
      <c r="K7" s="10" t="s">
        <v>12</v>
      </c>
      <c r="L7" s="6" t="s">
        <v>36</v>
      </c>
      <c r="M7" s="6" t="s">
        <v>37</v>
      </c>
      <c r="N7" s="11"/>
      <c r="O7" s="11"/>
      <c r="P7" s="6" t="s">
        <v>38</v>
      </c>
      <c r="Q7" s="6" t="s">
        <v>39</v>
      </c>
      <c r="R7" s="6" t="s">
        <v>40</v>
      </c>
    </row>
    <row r="8" customFormat="false" ht="64.5" hidden="false" customHeight="true" outlineLevel="0" collapsed="false">
      <c r="A8" s="5" t="n">
        <v>3</v>
      </c>
      <c r="B8" s="6" t="s">
        <v>41</v>
      </c>
      <c r="C8" s="6" t="s">
        <v>42</v>
      </c>
      <c r="D8" s="6" t="s">
        <v>43</v>
      </c>
      <c r="E8" s="7" t="n">
        <v>1</v>
      </c>
      <c r="F8" s="5" t="s">
        <v>24</v>
      </c>
      <c r="G8" s="5" t="s">
        <v>25</v>
      </c>
      <c r="H8" s="8" t="n">
        <v>7.61</v>
      </c>
      <c r="I8" s="9" t="n">
        <f aca="false">IF(H8="","",E8*H8)</f>
        <v>7.61</v>
      </c>
      <c r="J8" s="6" t="s">
        <v>44</v>
      </c>
      <c r="K8" s="10" t="s">
        <v>12</v>
      </c>
      <c r="L8" s="6" t="s">
        <v>45</v>
      </c>
      <c r="M8" s="6" t="s">
        <v>46</v>
      </c>
      <c r="N8" s="11"/>
      <c r="O8" s="11"/>
      <c r="P8" s="6" t="s">
        <v>47</v>
      </c>
      <c r="Q8" s="6" t="s">
        <v>39</v>
      </c>
      <c r="R8" s="6" t="s">
        <v>48</v>
      </c>
    </row>
    <row r="9" customFormat="false" ht="51.75" hidden="false" customHeight="true" outlineLevel="0" collapsed="false">
      <c r="A9" s="5" t="n">
        <v>4</v>
      </c>
      <c r="B9" s="6" t="s">
        <v>41</v>
      </c>
      <c r="C9" s="6" t="s">
        <v>49</v>
      </c>
      <c r="D9" s="6" t="s">
        <v>50</v>
      </c>
      <c r="E9" s="7" t="n">
        <v>2</v>
      </c>
      <c r="F9" s="5" t="s">
        <v>24</v>
      </c>
      <c r="G9" s="5" t="s">
        <v>25</v>
      </c>
      <c r="H9" s="8" t="n">
        <v>1.8</v>
      </c>
      <c r="I9" s="9" t="n">
        <f aca="false">IF(H9="","",E9*H9)</f>
        <v>3.6</v>
      </c>
      <c r="J9" s="6" t="s">
        <v>26</v>
      </c>
      <c r="K9" s="10" t="s">
        <v>12</v>
      </c>
      <c r="L9" s="6" t="s">
        <v>27</v>
      </c>
      <c r="M9" s="6" t="s">
        <v>51</v>
      </c>
      <c r="N9" s="11"/>
      <c r="O9" s="11"/>
      <c r="P9" s="6" t="s">
        <v>52</v>
      </c>
      <c r="Q9" s="6" t="s">
        <v>39</v>
      </c>
      <c r="R9" s="6" t="s">
        <v>53</v>
      </c>
    </row>
    <row r="10" customFormat="false" ht="142.5" hidden="false" customHeight="true" outlineLevel="0" collapsed="false">
      <c r="A10" s="5" t="n">
        <v>5</v>
      </c>
      <c r="B10" s="6" t="s">
        <v>54</v>
      </c>
      <c r="C10" s="6" t="s">
        <v>55</v>
      </c>
      <c r="D10" s="6" t="s">
        <v>56</v>
      </c>
      <c r="E10" s="7" t="n">
        <v>1</v>
      </c>
      <c r="F10" s="5" t="s">
        <v>24</v>
      </c>
      <c r="G10" s="5" t="s">
        <v>25</v>
      </c>
      <c r="H10" s="8" t="n">
        <v>19.99</v>
      </c>
      <c r="I10" s="9" t="n">
        <f aca="false">IF(H10="","",E10*H10)</f>
        <v>19.99</v>
      </c>
      <c r="J10" s="6" t="s">
        <v>35</v>
      </c>
      <c r="K10" s="10" t="s">
        <v>12</v>
      </c>
      <c r="L10" s="6" t="s">
        <v>57</v>
      </c>
      <c r="M10" s="6" t="s">
        <v>58</v>
      </c>
      <c r="N10" s="11"/>
      <c r="O10" s="11"/>
      <c r="P10" s="6" t="s">
        <v>59</v>
      </c>
      <c r="Q10" s="6" t="s">
        <v>39</v>
      </c>
      <c r="R10" s="6" t="s">
        <v>60</v>
      </c>
    </row>
    <row r="11" customFormat="false" ht="64.5" hidden="false" customHeight="true" outlineLevel="0" collapsed="false">
      <c r="A11" s="5" t="n">
        <v>6</v>
      </c>
      <c r="B11" s="6" t="s">
        <v>61</v>
      </c>
      <c r="C11" s="6" t="s">
        <v>62</v>
      </c>
      <c r="D11" s="6" t="s">
        <v>63</v>
      </c>
      <c r="E11" s="7" t="n">
        <v>1</v>
      </c>
      <c r="F11" s="5" t="s">
        <v>24</v>
      </c>
      <c r="G11" s="5" t="s">
        <v>64</v>
      </c>
      <c r="H11" s="8" t="n">
        <v>11.99</v>
      </c>
      <c r="I11" s="9" t="n">
        <f aca="false">IF(H11="","",E11*H11)</f>
        <v>11.99</v>
      </c>
      <c r="J11" s="6" t="s">
        <v>35</v>
      </c>
      <c r="K11" s="10" t="s">
        <v>12</v>
      </c>
      <c r="L11" s="6" t="s">
        <v>65</v>
      </c>
      <c r="M11" s="6" t="s">
        <v>66</v>
      </c>
      <c r="N11" s="11"/>
      <c r="O11" s="11"/>
      <c r="P11" s="6" t="s">
        <v>67</v>
      </c>
      <c r="Q11" s="6" t="s">
        <v>30</v>
      </c>
      <c r="R11" s="6" t="s">
        <v>40</v>
      </c>
    </row>
    <row r="12" customFormat="false" ht="45" hidden="false" customHeight="true" outlineLevel="0" collapsed="false">
      <c r="A12" s="5" t="n">
        <v>7</v>
      </c>
      <c r="B12" s="6" t="s">
        <v>61</v>
      </c>
      <c r="C12" s="6" t="s">
        <v>68</v>
      </c>
      <c r="D12" s="6" t="s">
        <v>69</v>
      </c>
      <c r="E12" s="7" t="n">
        <v>1</v>
      </c>
      <c r="F12" s="5" t="s">
        <v>24</v>
      </c>
      <c r="G12" s="5" t="s">
        <v>64</v>
      </c>
      <c r="H12" s="8" t="n">
        <v>6.99</v>
      </c>
      <c r="I12" s="9" t="n">
        <f aca="false">IF(H12="","",E12*H12)</f>
        <v>6.99</v>
      </c>
      <c r="J12" s="6" t="s">
        <v>35</v>
      </c>
      <c r="K12" s="10" t="s">
        <v>12</v>
      </c>
      <c r="L12" s="6" t="s">
        <v>65</v>
      </c>
      <c r="M12" s="6" t="s">
        <v>70</v>
      </c>
      <c r="N12" s="11"/>
      <c r="O12" s="11"/>
      <c r="P12" s="6" t="s">
        <v>71</v>
      </c>
      <c r="Q12" s="6" t="s">
        <v>30</v>
      </c>
      <c r="R12" s="6" t="s">
        <v>40</v>
      </c>
    </row>
    <row r="13" customFormat="false" ht="51.75" hidden="false" customHeight="true" outlineLevel="0" collapsed="false">
      <c r="A13" s="5" t="n">
        <v>8</v>
      </c>
      <c r="B13" s="6" t="s">
        <v>61</v>
      </c>
      <c r="C13" s="6" t="s">
        <v>72</v>
      </c>
      <c r="D13" s="6" t="s">
        <v>73</v>
      </c>
      <c r="E13" s="7" t="n">
        <v>1</v>
      </c>
      <c r="F13" s="5" t="s">
        <v>24</v>
      </c>
      <c r="G13" s="5" t="s">
        <v>74</v>
      </c>
      <c r="H13" s="8" t="n">
        <v>5</v>
      </c>
      <c r="I13" s="9" t="n">
        <f aca="false">IF(H13="","",E13*H13)</f>
        <v>5</v>
      </c>
      <c r="J13" s="6" t="s">
        <v>75</v>
      </c>
      <c r="K13" s="10" t="s">
        <v>12</v>
      </c>
      <c r="L13" s="6" t="s">
        <v>76</v>
      </c>
      <c r="M13" s="6" t="s">
        <v>77</v>
      </c>
      <c r="N13" s="11"/>
      <c r="O13" s="11"/>
      <c r="P13" s="6" t="s">
        <v>78</v>
      </c>
      <c r="Q13" s="6" t="s">
        <v>30</v>
      </c>
      <c r="R13" s="6" t="s">
        <v>79</v>
      </c>
    </row>
    <row r="14" customFormat="false" ht="45" hidden="false" customHeight="true" outlineLevel="0" collapsed="false">
      <c r="A14" s="5" t="n">
        <v>9</v>
      </c>
      <c r="B14" s="6" t="s">
        <v>61</v>
      </c>
      <c r="C14" s="6" t="s">
        <v>80</v>
      </c>
      <c r="D14" s="6" t="s">
        <v>81</v>
      </c>
      <c r="E14" s="7" t="n">
        <v>1</v>
      </c>
      <c r="F14" s="5" t="s">
        <v>24</v>
      </c>
      <c r="G14" s="5" t="s">
        <v>74</v>
      </c>
      <c r="H14" s="8" t="n">
        <v>6</v>
      </c>
      <c r="I14" s="9" t="n">
        <f aca="false">IF(H14="","",E14*H14)</f>
        <v>6</v>
      </c>
      <c r="J14" s="6" t="s">
        <v>75</v>
      </c>
      <c r="K14" s="10" t="s">
        <v>12</v>
      </c>
      <c r="L14" s="6" t="s">
        <v>76</v>
      </c>
      <c r="M14" s="6" t="s">
        <v>82</v>
      </c>
      <c r="N14" s="11"/>
      <c r="O14" s="11"/>
      <c r="P14" s="6" t="s">
        <v>83</v>
      </c>
      <c r="Q14" s="6" t="s">
        <v>30</v>
      </c>
      <c r="R14" s="6" t="s">
        <v>79</v>
      </c>
    </row>
    <row r="15" customFormat="false" ht="51.75" hidden="false" customHeight="true" outlineLevel="0" collapsed="false">
      <c r="A15" s="5" t="n">
        <v>10</v>
      </c>
      <c r="B15" s="6" t="s">
        <v>61</v>
      </c>
      <c r="C15" s="6" t="s">
        <v>84</v>
      </c>
      <c r="D15" s="6" t="s">
        <v>85</v>
      </c>
      <c r="E15" s="7" t="n">
        <v>1</v>
      </c>
      <c r="F15" s="5" t="s">
        <v>24</v>
      </c>
      <c r="G15" s="5" t="s">
        <v>64</v>
      </c>
      <c r="H15" s="8" t="n">
        <v>0.99</v>
      </c>
      <c r="I15" s="9" t="n">
        <f aca="false">IF(H15="","",E15*H15)</f>
        <v>0.99</v>
      </c>
      <c r="J15" s="6" t="s">
        <v>26</v>
      </c>
      <c r="K15" s="10" t="s">
        <v>12</v>
      </c>
      <c r="L15" s="6" t="s">
        <v>27</v>
      </c>
      <c r="M15" s="6" t="s">
        <v>86</v>
      </c>
      <c r="N15" s="11"/>
      <c r="O15" s="11"/>
      <c r="P15" s="6" t="s">
        <v>87</v>
      </c>
      <c r="Q15" s="6" t="s">
        <v>39</v>
      </c>
      <c r="R15" s="6" t="s">
        <v>53</v>
      </c>
    </row>
    <row r="16" customFormat="false" ht="45" hidden="false" customHeight="true" outlineLevel="0" collapsed="false">
      <c r="A16" s="5" t="n">
        <v>11</v>
      </c>
      <c r="B16" s="6" t="s">
        <v>61</v>
      </c>
      <c r="C16" s="6" t="s">
        <v>88</v>
      </c>
      <c r="D16" s="6" t="s">
        <v>89</v>
      </c>
      <c r="E16" s="7" t="n">
        <v>0</v>
      </c>
      <c r="F16" s="5" t="s">
        <v>24</v>
      </c>
      <c r="G16" s="5" t="s">
        <v>25</v>
      </c>
      <c r="H16" s="8" t="n">
        <v>10.99</v>
      </c>
      <c r="I16" s="9" t="n">
        <f aca="false">IF(H16="","",E16*H16)</f>
        <v>0</v>
      </c>
      <c r="J16" s="6" t="s">
        <v>90</v>
      </c>
      <c r="K16" s="10" t="s">
        <v>12</v>
      </c>
      <c r="L16" s="6" t="s">
        <v>91</v>
      </c>
      <c r="M16" s="6" t="s">
        <v>92</v>
      </c>
      <c r="N16" s="11"/>
      <c r="O16" s="11"/>
      <c r="P16" s="6" t="s">
        <v>93</v>
      </c>
      <c r="Q16" s="6" t="s">
        <v>94</v>
      </c>
      <c r="R16" s="6" t="s">
        <v>95</v>
      </c>
    </row>
    <row r="17" customFormat="false" ht="45" hidden="false" customHeight="true" outlineLevel="0" collapsed="false">
      <c r="A17" s="5" t="n">
        <v>12</v>
      </c>
      <c r="B17" s="6" t="s">
        <v>96</v>
      </c>
      <c r="C17" s="6" t="s">
        <v>97</v>
      </c>
      <c r="D17" s="6" t="s">
        <v>98</v>
      </c>
      <c r="E17" s="7" t="n">
        <v>0</v>
      </c>
      <c r="F17" s="5" t="s">
        <v>24</v>
      </c>
      <c r="G17" s="5" t="s">
        <v>99</v>
      </c>
      <c r="H17" s="8" t="n">
        <v>0</v>
      </c>
      <c r="I17" s="9" t="n">
        <f aca="false">IF(H17="","",E17*H17)</f>
        <v>0</v>
      </c>
      <c r="J17" s="6" t="s">
        <v>100</v>
      </c>
      <c r="K17" s="6"/>
      <c r="L17" s="6" t="s">
        <v>100</v>
      </c>
      <c r="M17" s="6" t="s">
        <v>101</v>
      </c>
      <c r="N17" s="11"/>
      <c r="O17" s="11"/>
      <c r="P17" s="6" t="s">
        <v>102</v>
      </c>
      <c r="Q17" s="6"/>
      <c r="R17" s="6"/>
    </row>
    <row r="18" customFormat="false" ht="51.75" hidden="false" customHeight="true" outlineLevel="0" collapsed="false">
      <c r="A18" s="5" t="n">
        <v>13</v>
      </c>
      <c r="B18" s="6" t="s">
        <v>96</v>
      </c>
      <c r="C18" s="6" t="s">
        <v>103</v>
      </c>
      <c r="D18" s="6" t="s">
        <v>104</v>
      </c>
      <c r="E18" s="7" t="n">
        <v>0</v>
      </c>
      <c r="F18" s="5" t="s">
        <v>24</v>
      </c>
      <c r="G18" s="5" t="s">
        <v>99</v>
      </c>
      <c r="H18" s="8"/>
      <c r="I18" s="9" t="str">
        <f aca="false">IF(H18="","",E18*H18)</f>
        <v/>
      </c>
      <c r="J18" s="6" t="s">
        <v>105</v>
      </c>
      <c r="K18" s="6"/>
      <c r="L18" s="6" t="s">
        <v>100</v>
      </c>
      <c r="M18" s="6" t="s">
        <v>106</v>
      </c>
      <c r="N18" s="11"/>
      <c r="O18" s="11"/>
      <c r="P18" s="6" t="s">
        <v>107</v>
      </c>
      <c r="Q18" s="6" t="s">
        <v>108</v>
      </c>
      <c r="R18" s="6" t="s">
        <v>109</v>
      </c>
    </row>
    <row r="19" customFormat="false" ht="45" hidden="false" customHeight="true" outlineLevel="0" collapsed="false">
      <c r="A19" s="5" t="n">
        <v>14</v>
      </c>
      <c r="B19" s="6" t="s">
        <v>110</v>
      </c>
      <c r="C19" s="6" t="s">
        <v>111</v>
      </c>
      <c r="D19" s="6" t="s">
        <v>112</v>
      </c>
      <c r="E19" s="7" t="n">
        <v>1</v>
      </c>
      <c r="F19" s="5" t="s">
        <v>24</v>
      </c>
      <c r="G19" s="5" t="s">
        <v>74</v>
      </c>
      <c r="H19" s="8" t="n">
        <v>15</v>
      </c>
      <c r="I19" s="9" t="n">
        <f aca="false">IF(H19="","",E19*H19)</f>
        <v>15</v>
      </c>
      <c r="J19" s="6" t="s">
        <v>113</v>
      </c>
      <c r="K19" s="6"/>
      <c r="L19" s="6" t="s">
        <v>100</v>
      </c>
      <c r="M19" s="6" t="s">
        <v>114</v>
      </c>
      <c r="N19" s="11"/>
      <c r="O19" s="11"/>
      <c r="P19" s="6" t="s">
        <v>115</v>
      </c>
      <c r="Q19" s="6" t="s">
        <v>116</v>
      </c>
      <c r="R19" s="6" t="s">
        <v>117</v>
      </c>
    </row>
    <row r="20" customFormat="false" ht="45" hidden="false" customHeight="true" outlineLevel="0" collapsed="false">
      <c r="A20" s="5" t="n">
        <v>15</v>
      </c>
      <c r="B20" s="6" t="s">
        <v>118</v>
      </c>
      <c r="C20" s="6" t="s">
        <v>119</v>
      </c>
      <c r="D20" s="6" t="s">
        <v>120</v>
      </c>
      <c r="E20" s="7" t="n">
        <v>0</v>
      </c>
      <c r="F20" s="5" t="s">
        <v>24</v>
      </c>
      <c r="G20" s="5" t="s">
        <v>121</v>
      </c>
      <c r="H20" s="8" t="n">
        <v>0</v>
      </c>
      <c r="I20" s="9" t="n">
        <f aca="false">IF(H20="","",E20*H20)</f>
        <v>0</v>
      </c>
      <c r="J20" s="6" t="s">
        <v>100</v>
      </c>
      <c r="K20" s="6"/>
      <c r="L20" s="6" t="s">
        <v>100</v>
      </c>
      <c r="M20" s="6" t="s">
        <v>122</v>
      </c>
      <c r="N20" s="11"/>
      <c r="O20" s="11"/>
      <c r="P20" s="6" t="s">
        <v>123</v>
      </c>
      <c r="Q20" s="6"/>
      <c r="R20" s="6"/>
    </row>
    <row r="21" customFormat="false" ht="19.5" hidden="false" customHeight="true" outlineLevel="0" collapsed="false">
      <c r="A21" s="12"/>
      <c r="B21" s="12"/>
      <c r="C21" s="13" t="s">
        <v>124</v>
      </c>
      <c r="D21" s="12"/>
      <c r="E21" s="12"/>
      <c r="F21" s="12"/>
      <c r="G21" s="12"/>
      <c r="H21" s="12"/>
      <c r="I21" s="14" t="n">
        <f aca="false">SUMIFS($I$5:$I$20,$F$5:$F$20,"P1")</f>
        <v>177.28</v>
      </c>
      <c r="J21" s="12"/>
      <c r="K21" s="12"/>
      <c r="L21" s="12"/>
      <c r="M21" s="12"/>
      <c r="N21" s="12"/>
      <c r="O21" s="12"/>
      <c r="P21" s="12"/>
      <c r="Q21" s="12"/>
      <c r="R21" s="12"/>
    </row>
    <row r="22" customFormat="false" ht="19.5" hidden="false" customHeight="true" outlineLevel="0" collapsed="false">
      <c r="A22" s="4" t="s">
        <v>125</v>
      </c>
      <c r="B22" s="4"/>
      <c r="C22" s="4"/>
      <c r="D22" s="4"/>
      <c r="E22" s="4"/>
      <c r="F22" s="4"/>
      <c r="G22" s="4"/>
      <c r="H22" s="4"/>
      <c r="I22" s="4"/>
      <c r="J22" s="4"/>
      <c r="K22" s="4"/>
      <c r="L22" s="4"/>
      <c r="M22" s="4"/>
      <c r="N22" s="4"/>
      <c r="O22" s="4"/>
      <c r="P22" s="4"/>
      <c r="Q22" s="4"/>
      <c r="R22" s="4"/>
    </row>
    <row r="23" customFormat="false" ht="64.5" hidden="false" customHeight="true" outlineLevel="0" collapsed="false">
      <c r="A23" s="5" t="n">
        <v>16</v>
      </c>
      <c r="B23" s="6" t="s">
        <v>126</v>
      </c>
      <c r="C23" s="6" t="s">
        <v>127</v>
      </c>
      <c r="D23" s="6" t="s">
        <v>128</v>
      </c>
      <c r="E23" s="7" t="n">
        <v>0</v>
      </c>
      <c r="F23" s="5" t="s">
        <v>126</v>
      </c>
      <c r="G23" s="5" t="s">
        <v>129</v>
      </c>
      <c r="H23" s="8"/>
      <c r="I23" s="9" t="str">
        <f aca="false">IF(H23="","",E23*H23)</f>
        <v/>
      </c>
      <c r="J23" s="6" t="s">
        <v>100</v>
      </c>
      <c r="K23" s="6"/>
      <c r="L23" s="6" t="s">
        <v>100</v>
      </c>
      <c r="M23" s="6" t="s">
        <v>130</v>
      </c>
      <c r="N23" s="11"/>
      <c r="O23" s="11"/>
      <c r="P23" s="6" t="s">
        <v>131</v>
      </c>
      <c r="Q23" s="6" t="s">
        <v>132</v>
      </c>
      <c r="R23" s="6" t="s">
        <v>100</v>
      </c>
    </row>
    <row r="24" customFormat="false" ht="64.5" hidden="false" customHeight="true" outlineLevel="0" collapsed="false">
      <c r="A24" s="5" t="n">
        <v>17</v>
      </c>
      <c r="B24" s="6" t="s">
        <v>126</v>
      </c>
      <c r="C24" s="6" t="s">
        <v>133</v>
      </c>
      <c r="D24" s="6" t="s">
        <v>134</v>
      </c>
      <c r="E24" s="7" t="n">
        <v>1</v>
      </c>
      <c r="F24" s="5" t="s">
        <v>126</v>
      </c>
      <c r="G24" s="5" t="s">
        <v>74</v>
      </c>
      <c r="H24" s="8" t="n">
        <v>25</v>
      </c>
      <c r="I24" s="9" t="n">
        <f aca="false">IF(H24="","",E24*H24)</f>
        <v>25</v>
      </c>
      <c r="J24" s="6" t="s">
        <v>135</v>
      </c>
      <c r="K24" s="6"/>
      <c r="L24" s="6" t="s">
        <v>136</v>
      </c>
      <c r="M24" s="6" t="s">
        <v>137</v>
      </c>
      <c r="N24" s="11"/>
      <c r="O24" s="11"/>
      <c r="P24" s="6" t="s">
        <v>138</v>
      </c>
      <c r="Q24" s="6" t="s">
        <v>139</v>
      </c>
      <c r="R24" s="6" t="s">
        <v>140</v>
      </c>
    </row>
    <row r="25" customFormat="false" ht="64.5" hidden="false" customHeight="true" outlineLevel="0" collapsed="false">
      <c r="A25" s="5" t="n">
        <v>18</v>
      </c>
      <c r="B25" s="6" t="s">
        <v>126</v>
      </c>
      <c r="C25" s="6" t="s">
        <v>141</v>
      </c>
      <c r="D25" s="6" t="s">
        <v>142</v>
      </c>
      <c r="E25" s="7" t="n">
        <v>0</v>
      </c>
      <c r="F25" s="5" t="s">
        <v>126</v>
      </c>
      <c r="G25" s="5" t="s">
        <v>64</v>
      </c>
      <c r="H25" s="8" t="n">
        <v>10.7</v>
      </c>
      <c r="I25" s="9" t="n">
        <f aca="false">IF(H25="","",E25*H25)</f>
        <v>0</v>
      </c>
      <c r="J25" s="6" t="s">
        <v>26</v>
      </c>
      <c r="K25" s="10" t="s">
        <v>12</v>
      </c>
      <c r="L25" s="6" t="s">
        <v>143</v>
      </c>
      <c r="M25" s="6" t="s">
        <v>144</v>
      </c>
      <c r="N25" s="11"/>
      <c r="O25" s="11"/>
      <c r="P25" s="6" t="s">
        <v>145</v>
      </c>
      <c r="Q25" s="6" t="s">
        <v>146</v>
      </c>
      <c r="R25" s="6" t="s">
        <v>147</v>
      </c>
    </row>
    <row r="26" customFormat="false" ht="64.5" hidden="false" customHeight="true" outlineLevel="0" collapsed="false">
      <c r="A26" s="5" t="n">
        <v>19</v>
      </c>
      <c r="B26" s="6" t="s">
        <v>126</v>
      </c>
      <c r="C26" s="6" t="s">
        <v>148</v>
      </c>
      <c r="D26" s="6" t="s">
        <v>149</v>
      </c>
      <c r="E26" s="7" t="n">
        <v>1</v>
      </c>
      <c r="F26" s="5" t="s">
        <v>126</v>
      </c>
      <c r="G26" s="5" t="s">
        <v>25</v>
      </c>
      <c r="H26" s="8" t="n">
        <v>32.95</v>
      </c>
      <c r="I26" s="9" t="n">
        <f aca="false">IF(H26="","",E26*H26)</f>
        <v>32.95</v>
      </c>
      <c r="J26" s="6" t="s">
        <v>150</v>
      </c>
      <c r="K26" s="10" t="s">
        <v>12</v>
      </c>
      <c r="L26" s="6" t="s">
        <v>151</v>
      </c>
      <c r="M26" s="6" t="s">
        <v>152</v>
      </c>
      <c r="N26" s="11"/>
      <c r="O26" s="11"/>
      <c r="P26" s="6" t="s">
        <v>153</v>
      </c>
      <c r="Q26" s="6" t="s">
        <v>154</v>
      </c>
      <c r="R26" s="6" t="s">
        <v>155</v>
      </c>
    </row>
    <row r="27" customFormat="false" ht="78" hidden="false" customHeight="true" outlineLevel="0" collapsed="false">
      <c r="A27" s="5" t="n">
        <v>20</v>
      </c>
      <c r="B27" s="6" t="s">
        <v>126</v>
      </c>
      <c r="C27" s="6" t="s">
        <v>156</v>
      </c>
      <c r="D27" s="6" t="s">
        <v>157</v>
      </c>
      <c r="E27" s="7" t="n">
        <v>0</v>
      </c>
      <c r="F27" s="5" t="s">
        <v>126</v>
      </c>
      <c r="G27" s="5" t="s">
        <v>64</v>
      </c>
      <c r="H27" s="8" t="n">
        <v>5.24</v>
      </c>
      <c r="I27" s="9" t="n">
        <f aca="false">IF(H27="","",E27*H27)</f>
        <v>0</v>
      </c>
      <c r="J27" s="6" t="s">
        <v>158</v>
      </c>
      <c r="K27" s="10" t="s">
        <v>12</v>
      </c>
      <c r="L27" s="6" t="s">
        <v>159</v>
      </c>
      <c r="M27" s="6" t="s">
        <v>160</v>
      </c>
      <c r="N27" s="11"/>
      <c r="O27" s="11"/>
      <c r="P27" s="6" t="s">
        <v>161</v>
      </c>
      <c r="Q27" s="6" t="s">
        <v>162</v>
      </c>
      <c r="R27" s="6" t="s">
        <v>163</v>
      </c>
    </row>
    <row r="28" customFormat="false" ht="45" hidden="false" customHeight="true" outlineLevel="0" collapsed="false">
      <c r="A28" s="5" t="n">
        <v>21</v>
      </c>
      <c r="B28" s="6" t="s">
        <v>126</v>
      </c>
      <c r="C28" s="6" t="s">
        <v>164</v>
      </c>
      <c r="D28" s="6" t="s">
        <v>165</v>
      </c>
      <c r="E28" s="7" t="n">
        <v>1</v>
      </c>
      <c r="F28" s="5" t="s">
        <v>126</v>
      </c>
      <c r="G28" s="5" t="s">
        <v>74</v>
      </c>
      <c r="H28" s="8" t="n">
        <v>15</v>
      </c>
      <c r="I28" s="9" t="n">
        <f aca="false">IF(H28="","",E28*H28)</f>
        <v>15</v>
      </c>
      <c r="J28" s="6" t="s">
        <v>166</v>
      </c>
      <c r="K28" s="6"/>
      <c r="L28" s="6" t="s">
        <v>143</v>
      </c>
      <c r="M28" s="6" t="s">
        <v>167</v>
      </c>
      <c r="N28" s="11"/>
      <c r="O28" s="11"/>
      <c r="P28" s="6" t="s">
        <v>168</v>
      </c>
      <c r="Q28" s="6" t="s">
        <v>169</v>
      </c>
      <c r="R28" s="6" t="s">
        <v>170</v>
      </c>
    </row>
    <row r="29" customFormat="false" ht="19.5" hidden="false" customHeight="true" outlineLevel="0" collapsed="false">
      <c r="A29" s="12"/>
      <c r="B29" s="12"/>
      <c r="C29" s="13" t="s">
        <v>171</v>
      </c>
      <c r="D29" s="12"/>
      <c r="E29" s="12"/>
      <c r="F29" s="12"/>
      <c r="G29" s="12"/>
      <c r="H29" s="12"/>
      <c r="I29" s="14" t="n">
        <f aca="false">SUMIFS($I$5:$I$28,$F$5:$F$28,"PCB")</f>
        <v>72.95</v>
      </c>
      <c r="J29" s="12"/>
      <c r="K29" s="12"/>
      <c r="L29" s="12"/>
      <c r="M29" s="12"/>
      <c r="N29" s="12"/>
      <c r="O29" s="12"/>
      <c r="P29" s="12"/>
      <c r="Q29" s="12"/>
      <c r="R29" s="12"/>
    </row>
    <row r="30" customFormat="false" ht="19.5" hidden="false" customHeight="true" outlineLevel="0" collapsed="false">
      <c r="A30" s="4" t="s">
        <v>172</v>
      </c>
      <c r="B30" s="4"/>
      <c r="C30" s="4"/>
      <c r="D30" s="4"/>
      <c r="E30" s="4"/>
      <c r="F30" s="4"/>
      <c r="G30" s="4"/>
      <c r="H30" s="4"/>
      <c r="I30" s="4"/>
      <c r="J30" s="4"/>
      <c r="K30" s="4"/>
      <c r="L30" s="4"/>
      <c r="M30" s="4"/>
      <c r="N30" s="4"/>
      <c r="O30" s="4"/>
      <c r="P30" s="4"/>
      <c r="Q30" s="4"/>
      <c r="R30" s="4"/>
    </row>
    <row r="31" customFormat="false" ht="51.75" hidden="false" customHeight="true" outlineLevel="0" collapsed="false">
      <c r="A31" s="5" t="n">
        <v>22</v>
      </c>
      <c r="B31" s="6" t="s">
        <v>54</v>
      </c>
      <c r="C31" s="6" t="s">
        <v>173</v>
      </c>
      <c r="D31" s="6" t="s">
        <v>174</v>
      </c>
      <c r="E31" s="7" t="n">
        <v>1</v>
      </c>
      <c r="F31" s="5" t="s">
        <v>175</v>
      </c>
      <c r="G31" s="5" t="s">
        <v>25</v>
      </c>
      <c r="H31" s="8" t="n">
        <v>175</v>
      </c>
      <c r="I31" s="9" t="n">
        <f aca="false">IF(H31="","",E31*H31)</f>
        <v>175</v>
      </c>
      <c r="J31" s="6" t="s">
        <v>176</v>
      </c>
      <c r="K31" s="10" t="s">
        <v>12</v>
      </c>
      <c r="L31" s="6" t="s">
        <v>177</v>
      </c>
      <c r="M31" s="6" t="s">
        <v>178</v>
      </c>
      <c r="N31" s="11"/>
      <c r="O31" s="11"/>
      <c r="P31" s="6" t="s">
        <v>179</v>
      </c>
      <c r="Q31" s="6" t="s">
        <v>180</v>
      </c>
      <c r="R31" s="6" t="s">
        <v>181</v>
      </c>
    </row>
    <row r="32" customFormat="false" ht="45" hidden="false" customHeight="true" outlineLevel="0" collapsed="false">
      <c r="A32" s="5" t="n">
        <v>23</v>
      </c>
      <c r="B32" s="6" t="s">
        <v>54</v>
      </c>
      <c r="C32" s="6" t="s">
        <v>182</v>
      </c>
      <c r="D32" s="6" t="s">
        <v>183</v>
      </c>
      <c r="E32" s="7" t="n">
        <v>1</v>
      </c>
      <c r="F32" s="5" t="s">
        <v>175</v>
      </c>
      <c r="G32" s="5" t="s">
        <v>64</v>
      </c>
      <c r="H32" s="8" t="n">
        <v>12.34</v>
      </c>
      <c r="I32" s="9" t="n">
        <f aca="false">IF(H32="","",E32*H32)</f>
        <v>12.34</v>
      </c>
      <c r="J32" s="6" t="s">
        <v>35</v>
      </c>
      <c r="K32" s="10" t="s">
        <v>12</v>
      </c>
      <c r="L32" s="6" t="s">
        <v>65</v>
      </c>
      <c r="M32" s="6" t="s">
        <v>184</v>
      </c>
      <c r="N32" s="11"/>
      <c r="O32" s="11"/>
      <c r="P32" s="6" t="s">
        <v>185</v>
      </c>
      <c r="Q32" s="6" t="s">
        <v>186</v>
      </c>
      <c r="R32" s="6" t="s">
        <v>187</v>
      </c>
    </row>
    <row r="33" customFormat="false" ht="45" hidden="false" customHeight="true" outlineLevel="0" collapsed="false">
      <c r="A33" s="5" t="n">
        <v>24</v>
      </c>
      <c r="B33" s="6" t="s">
        <v>54</v>
      </c>
      <c r="C33" s="6" t="s">
        <v>188</v>
      </c>
      <c r="D33" s="6" t="s">
        <v>189</v>
      </c>
      <c r="E33" s="7" t="n">
        <v>1</v>
      </c>
      <c r="F33" s="5" t="s">
        <v>175</v>
      </c>
      <c r="G33" s="5" t="s">
        <v>25</v>
      </c>
      <c r="H33" s="8" t="n">
        <v>11.95</v>
      </c>
      <c r="I33" s="9" t="n">
        <f aca="false">IF(H33="","",E33*H33)</f>
        <v>11.95</v>
      </c>
      <c r="J33" s="6" t="s">
        <v>176</v>
      </c>
      <c r="K33" s="10" t="s">
        <v>12</v>
      </c>
      <c r="L33" s="6" t="s">
        <v>190</v>
      </c>
      <c r="M33" s="6" t="s">
        <v>191</v>
      </c>
      <c r="N33" s="11"/>
      <c r="O33" s="11"/>
      <c r="P33" s="6" t="s">
        <v>192</v>
      </c>
      <c r="Q33" s="6" t="s">
        <v>186</v>
      </c>
      <c r="R33" s="6" t="s">
        <v>187</v>
      </c>
    </row>
    <row r="34" customFormat="false" ht="129.75" hidden="false" customHeight="true" outlineLevel="0" collapsed="false">
      <c r="A34" s="5" t="n">
        <v>25</v>
      </c>
      <c r="B34" s="6" t="s">
        <v>54</v>
      </c>
      <c r="C34" s="6" t="s">
        <v>193</v>
      </c>
      <c r="D34" s="6" t="s">
        <v>194</v>
      </c>
      <c r="E34" s="7" t="n">
        <v>0</v>
      </c>
      <c r="F34" s="5" t="s">
        <v>175</v>
      </c>
      <c r="G34" s="5" t="s">
        <v>64</v>
      </c>
      <c r="H34" s="8" t="n">
        <v>135</v>
      </c>
      <c r="I34" s="9" t="n">
        <f aca="false">IF(H34="","",E34*H34)</f>
        <v>0</v>
      </c>
      <c r="J34" s="6" t="s">
        <v>35</v>
      </c>
      <c r="K34" s="10" t="s">
        <v>12</v>
      </c>
      <c r="L34" s="6" t="s">
        <v>195</v>
      </c>
      <c r="M34" s="6" t="s">
        <v>196</v>
      </c>
      <c r="N34" s="11"/>
      <c r="O34" s="11"/>
      <c r="P34" s="6" t="s">
        <v>197</v>
      </c>
      <c r="Q34" s="6" t="s">
        <v>198</v>
      </c>
      <c r="R34" s="6" t="s">
        <v>109</v>
      </c>
    </row>
    <row r="35" customFormat="false" ht="45" hidden="false" customHeight="true" outlineLevel="0" collapsed="false">
      <c r="A35" s="5" t="n">
        <v>26</v>
      </c>
      <c r="B35" s="6" t="s">
        <v>54</v>
      </c>
      <c r="C35" s="6" t="s">
        <v>199</v>
      </c>
      <c r="D35" s="6" t="s">
        <v>200</v>
      </c>
      <c r="E35" s="7" t="n">
        <v>1</v>
      </c>
      <c r="F35" s="5" t="s">
        <v>175</v>
      </c>
      <c r="G35" s="5" t="s">
        <v>129</v>
      </c>
      <c r="H35" s="8"/>
      <c r="I35" s="9" t="str">
        <f aca="false">IF(H35="","",E35*H35)</f>
        <v/>
      </c>
      <c r="J35" s="6" t="s">
        <v>201</v>
      </c>
      <c r="K35" s="6"/>
      <c r="L35" s="6"/>
      <c r="M35" s="6" t="s">
        <v>202</v>
      </c>
      <c r="N35" s="11"/>
      <c r="O35" s="11"/>
      <c r="P35" s="6" t="s">
        <v>203</v>
      </c>
      <c r="Q35" s="6" t="s">
        <v>186</v>
      </c>
      <c r="R35" s="6" t="s">
        <v>204</v>
      </c>
    </row>
    <row r="36" customFormat="false" ht="19.5" hidden="false" customHeight="true" outlineLevel="0" collapsed="false">
      <c r="A36" s="12"/>
      <c r="B36" s="12"/>
      <c r="C36" s="13" t="s">
        <v>205</v>
      </c>
      <c r="D36" s="12"/>
      <c r="E36" s="12"/>
      <c r="F36" s="12"/>
      <c r="G36" s="12"/>
      <c r="H36" s="12"/>
      <c r="I36" s="14" t="n">
        <f aca="false">SUMIFS($I$5:$I$35,$F$5:$F$35,"P2")</f>
        <v>199.29</v>
      </c>
      <c r="J36" s="12"/>
      <c r="K36" s="12"/>
      <c r="L36" s="12"/>
      <c r="M36" s="12"/>
      <c r="N36" s="12"/>
      <c r="O36" s="12"/>
      <c r="P36" s="12"/>
      <c r="Q36" s="12"/>
      <c r="R36" s="12"/>
    </row>
    <row r="37" customFormat="false" ht="19.5" hidden="false" customHeight="true" outlineLevel="0" collapsed="false">
      <c r="A37" s="4" t="s">
        <v>206</v>
      </c>
      <c r="B37" s="4"/>
      <c r="C37" s="4"/>
      <c r="D37" s="4"/>
      <c r="E37" s="4"/>
      <c r="F37" s="4"/>
      <c r="G37" s="4"/>
      <c r="H37" s="4"/>
      <c r="I37" s="4"/>
      <c r="J37" s="4"/>
      <c r="K37" s="4"/>
      <c r="L37" s="4"/>
      <c r="M37" s="4"/>
      <c r="N37" s="4"/>
      <c r="O37" s="4"/>
      <c r="P37" s="4"/>
      <c r="Q37" s="4"/>
      <c r="R37" s="4"/>
    </row>
    <row r="38" customFormat="false" ht="45" hidden="false" customHeight="true" outlineLevel="0" collapsed="false">
      <c r="A38" s="5" t="n">
        <v>27</v>
      </c>
      <c r="B38" s="6" t="s">
        <v>61</v>
      </c>
      <c r="C38" s="6" t="s">
        <v>207</v>
      </c>
      <c r="D38" s="6" t="s">
        <v>208</v>
      </c>
      <c r="E38" s="7" t="n">
        <v>0</v>
      </c>
      <c r="F38" s="5" t="s">
        <v>209</v>
      </c>
      <c r="G38" s="5" t="s">
        <v>64</v>
      </c>
      <c r="H38" s="8" t="n">
        <v>6.99</v>
      </c>
      <c r="I38" s="9" t="n">
        <f aca="false">IF(H38="","",E38*H38)</f>
        <v>0</v>
      </c>
      <c r="J38" s="6" t="s">
        <v>210</v>
      </c>
      <c r="K38" s="10" t="s">
        <v>12</v>
      </c>
      <c r="L38" s="6" t="s">
        <v>211</v>
      </c>
      <c r="M38" s="6" t="s">
        <v>212</v>
      </c>
      <c r="N38" s="11"/>
      <c r="O38" s="11"/>
      <c r="P38" s="6" t="s">
        <v>213</v>
      </c>
      <c r="Q38" s="6" t="s">
        <v>214</v>
      </c>
      <c r="R38" s="6" t="s">
        <v>215</v>
      </c>
    </row>
    <row r="39" customFormat="false" ht="45" hidden="false" customHeight="true" outlineLevel="0" collapsed="false">
      <c r="A39" s="5" t="n">
        <v>28</v>
      </c>
      <c r="B39" s="6" t="s">
        <v>61</v>
      </c>
      <c r="C39" s="6" t="s">
        <v>216</v>
      </c>
      <c r="D39" s="6" t="s">
        <v>217</v>
      </c>
      <c r="E39" s="7" t="n">
        <v>0</v>
      </c>
      <c r="F39" s="5" t="s">
        <v>209</v>
      </c>
      <c r="G39" s="5" t="s">
        <v>25</v>
      </c>
      <c r="H39" s="8" t="n">
        <v>8.95</v>
      </c>
      <c r="I39" s="9" t="n">
        <f aca="false">IF(H39="","",E39*H39)</f>
        <v>0</v>
      </c>
      <c r="J39" s="6" t="s">
        <v>150</v>
      </c>
      <c r="K39" s="10" t="s">
        <v>12</v>
      </c>
      <c r="L39" s="6" t="s">
        <v>218</v>
      </c>
      <c r="M39" s="6" t="s">
        <v>219</v>
      </c>
      <c r="N39" s="11"/>
      <c r="O39" s="11"/>
      <c r="P39" s="6" t="s">
        <v>220</v>
      </c>
      <c r="Q39" s="6" t="s">
        <v>214</v>
      </c>
      <c r="R39" s="6" t="s">
        <v>215</v>
      </c>
    </row>
    <row r="40" customFormat="false" ht="45" hidden="false" customHeight="true" outlineLevel="0" collapsed="false">
      <c r="A40" s="5" t="n">
        <v>29</v>
      </c>
      <c r="B40" s="6" t="s">
        <v>61</v>
      </c>
      <c r="C40" s="6" t="s">
        <v>221</v>
      </c>
      <c r="D40" s="6" t="s">
        <v>222</v>
      </c>
      <c r="E40" s="7" t="n">
        <v>0</v>
      </c>
      <c r="F40" s="5" t="s">
        <v>209</v>
      </c>
      <c r="G40" s="5" t="s">
        <v>129</v>
      </c>
      <c r="H40" s="8" t="n">
        <v>42</v>
      </c>
      <c r="I40" s="9" t="n">
        <f aca="false">IF(H40="","",E40*H40)</f>
        <v>0</v>
      </c>
      <c r="J40" s="6" t="s">
        <v>223</v>
      </c>
      <c r="K40" s="6"/>
      <c r="L40" s="6"/>
      <c r="M40" s="6" t="s">
        <v>224</v>
      </c>
      <c r="N40" s="11"/>
      <c r="O40" s="11"/>
      <c r="P40" s="6" t="s">
        <v>225</v>
      </c>
      <c r="Q40" s="6" t="s">
        <v>214</v>
      </c>
      <c r="R40" s="6" t="s">
        <v>215</v>
      </c>
    </row>
    <row r="41" customFormat="false" ht="45" hidden="false" customHeight="true" outlineLevel="0" collapsed="false">
      <c r="A41" s="5" t="n">
        <v>30</v>
      </c>
      <c r="B41" s="6" t="s">
        <v>32</v>
      </c>
      <c r="C41" s="6" t="s">
        <v>226</v>
      </c>
      <c r="D41" s="6" t="s">
        <v>227</v>
      </c>
      <c r="E41" s="7" t="n">
        <v>0</v>
      </c>
      <c r="F41" s="5" t="s">
        <v>228</v>
      </c>
      <c r="G41" s="5" t="s">
        <v>25</v>
      </c>
      <c r="H41" s="8" t="n">
        <v>14.99</v>
      </c>
      <c r="I41" s="9" t="n">
        <f aca="false">IF(H41="","",E41*H41)</f>
        <v>0</v>
      </c>
      <c r="J41" s="6" t="s">
        <v>35</v>
      </c>
      <c r="K41" s="10" t="s">
        <v>12</v>
      </c>
      <c r="L41" s="6" t="s">
        <v>229</v>
      </c>
      <c r="M41" s="6" t="s">
        <v>230</v>
      </c>
      <c r="N41" s="11"/>
      <c r="O41" s="11"/>
      <c r="P41" s="6" t="s">
        <v>231</v>
      </c>
      <c r="Q41" s="6" t="s">
        <v>100</v>
      </c>
      <c r="R41" s="6" t="s">
        <v>100</v>
      </c>
    </row>
    <row r="42" customFormat="false" ht="64.5" hidden="false" customHeight="true" outlineLevel="0" collapsed="false">
      <c r="A42" s="5" t="n">
        <v>31</v>
      </c>
      <c r="B42" s="6" t="s">
        <v>32</v>
      </c>
      <c r="C42" s="6" t="s">
        <v>232</v>
      </c>
      <c r="D42" s="6" t="s">
        <v>233</v>
      </c>
      <c r="E42" s="7" t="n">
        <v>0</v>
      </c>
      <c r="F42" s="5" t="s">
        <v>228</v>
      </c>
      <c r="G42" s="5" t="s">
        <v>64</v>
      </c>
      <c r="H42" s="8" t="n">
        <v>9.99</v>
      </c>
      <c r="I42" s="9" t="n">
        <f aca="false">IF(H42="","",E42*H42)</f>
        <v>0</v>
      </c>
      <c r="J42" s="6" t="s">
        <v>35</v>
      </c>
      <c r="K42" s="10" t="s">
        <v>12</v>
      </c>
      <c r="L42" s="6" t="s">
        <v>234</v>
      </c>
      <c r="M42" s="6" t="s">
        <v>230</v>
      </c>
      <c r="N42" s="11"/>
      <c r="O42" s="11"/>
      <c r="P42" s="6" t="s">
        <v>235</v>
      </c>
      <c r="Q42" s="6" t="s">
        <v>100</v>
      </c>
      <c r="R42" s="6" t="s">
        <v>100</v>
      </c>
    </row>
    <row r="43" customFormat="false" ht="19.5" hidden="false" customHeight="true" outlineLevel="0" collapsed="false">
      <c r="A43" s="4" t="s">
        <v>236</v>
      </c>
      <c r="B43" s="4"/>
      <c r="C43" s="4"/>
      <c r="D43" s="4"/>
      <c r="E43" s="4"/>
      <c r="F43" s="4"/>
      <c r="G43" s="4"/>
      <c r="H43" s="4"/>
      <c r="I43" s="4"/>
      <c r="J43" s="4"/>
      <c r="K43" s="4"/>
      <c r="L43" s="4"/>
      <c r="M43" s="4"/>
      <c r="N43" s="4"/>
      <c r="O43" s="4"/>
      <c r="P43" s="4"/>
      <c r="Q43" s="4"/>
      <c r="R43" s="4"/>
    </row>
    <row r="44" customFormat="false" ht="45" hidden="false" customHeight="true" outlineLevel="0" collapsed="false">
      <c r="A44" s="5" t="n">
        <v>32</v>
      </c>
      <c r="B44" s="6" t="s">
        <v>237</v>
      </c>
      <c r="C44" s="6" t="s">
        <v>238</v>
      </c>
      <c r="D44" s="6" t="s">
        <v>239</v>
      </c>
      <c r="E44" s="7" t="n">
        <v>1</v>
      </c>
      <c r="F44" s="5" t="s">
        <v>240</v>
      </c>
      <c r="G44" s="5" t="s">
        <v>74</v>
      </c>
      <c r="H44" s="8" t="n">
        <v>50</v>
      </c>
      <c r="I44" s="9" t="n">
        <f aca="false">IF(H44="","",E44*H44)</f>
        <v>50</v>
      </c>
      <c r="J44" s="6" t="s">
        <v>100</v>
      </c>
      <c r="K44" s="6"/>
      <c r="L44" s="6" t="s">
        <v>100</v>
      </c>
      <c r="M44" s="6" t="s">
        <v>241</v>
      </c>
      <c r="N44" s="11"/>
      <c r="O44" s="11"/>
      <c r="P44" s="6" t="s">
        <v>242</v>
      </c>
      <c r="Q44" s="6" t="s">
        <v>100</v>
      </c>
      <c r="R44" s="6" t="s">
        <v>100</v>
      </c>
    </row>
    <row r="45" customFormat="false" ht="45" hidden="false" customHeight="true" outlineLevel="0" collapsed="false">
      <c r="A45" s="5" t="n">
        <v>33</v>
      </c>
      <c r="B45" s="6" t="s">
        <v>237</v>
      </c>
      <c r="C45" s="6" t="s">
        <v>243</v>
      </c>
      <c r="D45" s="6" t="s">
        <v>244</v>
      </c>
      <c r="E45" s="7" t="n">
        <v>1</v>
      </c>
      <c r="F45" s="5" t="s">
        <v>240</v>
      </c>
      <c r="G45" s="5" t="s">
        <v>74</v>
      </c>
      <c r="H45" s="8" t="n">
        <v>30</v>
      </c>
      <c r="I45" s="9" t="n">
        <f aca="false">IF(H45="","",E45*H45)</f>
        <v>30</v>
      </c>
      <c r="J45" s="6" t="s">
        <v>100</v>
      </c>
      <c r="K45" s="6"/>
      <c r="L45" s="6" t="s">
        <v>100</v>
      </c>
      <c r="M45" s="6" t="s">
        <v>245</v>
      </c>
      <c r="N45" s="11"/>
      <c r="O45" s="11"/>
      <c r="P45" s="6" t="s">
        <v>246</v>
      </c>
      <c r="Q45" s="6" t="s">
        <v>100</v>
      </c>
      <c r="R45" s="6" t="s">
        <v>100</v>
      </c>
    </row>
    <row r="46" customFormat="false" ht="19.5" hidden="false" customHeight="true" outlineLevel="0" collapsed="false">
      <c r="A46" s="12"/>
      <c r="B46" s="12"/>
      <c r="C46" s="13" t="s">
        <v>247</v>
      </c>
      <c r="D46" s="12"/>
      <c r="E46" s="12"/>
      <c r="F46" s="12"/>
      <c r="G46" s="12"/>
      <c r="H46" s="12"/>
      <c r="I46" s="14" t="n">
        <f aca="false">SUMIFS($I$5:$I$45,$F$5:$F$45,"SHIP")</f>
        <v>80</v>
      </c>
      <c r="J46" s="12"/>
      <c r="K46" s="12"/>
      <c r="L46" s="12"/>
      <c r="M46" s="12"/>
      <c r="N46" s="12"/>
      <c r="O46" s="12"/>
      <c r="P46" s="12"/>
      <c r="Q46" s="12"/>
      <c r="R46" s="12"/>
    </row>
    <row r="47" customFormat="false" ht="24" hidden="false" customHeight="true" outlineLevel="0" collapsed="false">
      <c r="A47" s="15"/>
      <c r="B47" s="15"/>
      <c r="C47" s="16" t="s">
        <v>248</v>
      </c>
      <c r="D47" s="15"/>
      <c r="E47" s="15"/>
      <c r="F47" s="15"/>
      <c r="G47" s="15"/>
      <c r="H47" s="15"/>
      <c r="I47" s="17" t="n">
        <f aca="false">I21+I29+I36+I46</f>
        <v>529.52</v>
      </c>
      <c r="J47" s="15"/>
      <c r="K47" s="15"/>
      <c r="L47" s="15"/>
      <c r="M47" s="15"/>
      <c r="N47" s="15"/>
      <c r="O47" s="15"/>
      <c r="P47" s="15"/>
      <c r="Q47" s="15"/>
      <c r="R47" s="15"/>
    </row>
  </sheetData>
  <mergeCells count="5">
    <mergeCell ref="A5:R5"/>
    <mergeCell ref="A22:R22"/>
    <mergeCell ref="A30:R30"/>
    <mergeCell ref="A37:R37"/>
    <mergeCell ref="A43:R43"/>
  </mergeCells>
  <hyperlinks>
    <hyperlink ref="K6" r:id="rId1" display="Link"/>
    <hyperlink ref="K7" r:id="rId2" display="Link"/>
    <hyperlink ref="K8" r:id="rId3" display="Link"/>
    <hyperlink ref="K9" r:id="rId4" display="Link"/>
    <hyperlink ref="K10" r:id="rId5" display="Link"/>
    <hyperlink ref="K11" r:id="rId6" display="Link"/>
    <hyperlink ref="K12" r:id="rId7" display="Link"/>
    <hyperlink ref="K13" r:id="rId8" display="Link"/>
    <hyperlink ref="K14" r:id="rId9" display="Link"/>
    <hyperlink ref="K15" r:id="rId10" display="Link"/>
    <hyperlink ref="K16" r:id="rId11" display="Link"/>
    <hyperlink ref="K25" r:id="rId12" display="Link"/>
    <hyperlink ref="K26" r:id="rId13" display="Link"/>
    <hyperlink ref="K27" r:id="rId14" display="Link"/>
    <hyperlink ref="K31" r:id="rId15" display="Link"/>
    <hyperlink ref="K32" r:id="rId16" display="Link"/>
    <hyperlink ref="K33" r:id="rId17" display="Link"/>
    <hyperlink ref="K34" r:id="rId18" display="Link"/>
    <hyperlink ref="K38" r:id="rId19" display="Link"/>
    <hyperlink ref="K39" r:id="rId20" display="Link"/>
    <hyperlink ref="K41" r:id="rId21" display="Link"/>
    <hyperlink ref="K42" r:id="rId22" display="Lin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35" hidden="false" customHeight="false" outlineLevel="0" collapsed="false">
      <c r="A1" s="1" t="s">
        <v>249</v>
      </c>
    </row>
    <row r="3" customFormat="false" ht="15" hidden="false" customHeight="false" outlineLevel="0" collapsed="false">
      <c r="A3" s="0" t="s">
        <v>250</v>
      </c>
      <c r="B3" s="18" t="n">
        <v>380</v>
      </c>
      <c r="C3" s="19" t="s">
        <v>251</v>
      </c>
    </row>
    <row r="5" customFormat="false" ht="15" hidden="false" customHeight="false" outlineLevel="0" collapsed="false">
      <c r="A5" s="20" t="s">
        <v>252</v>
      </c>
      <c r="B5" s="21" t="n">
        <f aca="false">SUMIFS(BOM!$I$5:$I$47,BOM!$F$5:$F$47,"P1")</f>
        <v>177.28</v>
      </c>
      <c r="C5" s="20" t="s">
        <v>253</v>
      </c>
    </row>
    <row r="6" customFormat="false" ht="15" hidden="false" customHeight="false" outlineLevel="0" collapsed="false">
      <c r="A6" s="20" t="s">
        <v>254</v>
      </c>
      <c r="B6" s="21" t="n">
        <f aca="false">SUMIFS(BOM!$I$5:$I$47,BOM!$F$5:$F$47,"PCB")</f>
        <v>72.95</v>
      </c>
      <c r="C6" s="20" t="s">
        <v>255</v>
      </c>
    </row>
    <row r="7" customFormat="false" ht="15" hidden="false" customHeight="false" outlineLevel="0" collapsed="false">
      <c r="A7" s="20" t="s">
        <v>256</v>
      </c>
      <c r="B7" s="21" t="n">
        <f aca="false">SUMIFS(BOM!$I$5:$I$47,BOM!$F$5:$F$47,"P2")</f>
        <v>199.29</v>
      </c>
      <c r="C7" s="20" t="s">
        <v>257</v>
      </c>
    </row>
    <row r="8" customFormat="false" ht="15" hidden="false" customHeight="false" outlineLevel="0" collapsed="false">
      <c r="A8" s="20" t="s">
        <v>258</v>
      </c>
      <c r="B8" s="21" t="n">
        <f aca="false">SUMIFS(BOM!$I$5:$I$47,BOM!$F$5:$F$47,"SHIP")</f>
        <v>80</v>
      </c>
      <c r="C8" s="20" t="s">
        <v>259</v>
      </c>
    </row>
    <row r="9" customFormat="false" ht="15" hidden="false" customHeight="false" outlineLevel="0" collapsed="false">
      <c r="A9" s="20" t="s">
        <v>260</v>
      </c>
      <c r="B9" s="21" t="n">
        <f aca="false">SUMIFS(BOM!$I$5:$I$47,BOM!$F$5:$F$47,"P3")</f>
        <v>0</v>
      </c>
      <c r="C9" s="20" t="s">
        <v>261</v>
      </c>
    </row>
    <row r="10" customFormat="false" ht="15" hidden="false" customHeight="false" outlineLevel="0" collapsed="false">
      <c r="A10" s="22" t="s">
        <v>262</v>
      </c>
      <c r="B10" s="23" t="n">
        <f aca="false">SUM(B5:B9)</f>
        <v>529.52</v>
      </c>
    </row>
    <row r="11" customFormat="false" ht="15" hidden="false" customHeight="false" outlineLevel="0" collapsed="false">
      <c r="A11" s="22" t="s">
        <v>263</v>
      </c>
      <c r="B11" s="24" t="n">
        <f aca="false">B3-B10</f>
        <v>-149.52</v>
      </c>
      <c r="C11" s="19" t="s">
        <v>264</v>
      </c>
    </row>
    <row r="13" customFormat="false" ht="15" hidden="false" customHeight="false" outlineLevel="0" collapsed="false">
      <c r="A13" s="20" t="s">
        <v>265</v>
      </c>
      <c r="B13" s="21" t="n">
        <f aca="false">SUMIFS(BOM!$H$5:$H$47,BOM!$F$5:$F$47,"P3")</f>
        <v>57.94</v>
      </c>
      <c r="C13" s="19" t="s">
        <v>266</v>
      </c>
    </row>
    <row r="14" customFormat="false" ht="15" hidden="false" customHeight="false" outlineLevel="0" collapsed="false">
      <c r="A14" s="20" t="s">
        <v>193</v>
      </c>
      <c r="B14" s="21" t="n">
        <f aca="false">SUMIFS(BOM!$H$5:$H$47,BOM!$C$5:$C$47,"*Coral*")</f>
        <v>135</v>
      </c>
      <c r="C14" s="19" t="s">
        <v>267</v>
      </c>
    </row>
    <row r="16" customFormat="false" ht="15" hidden="false" customHeight="false" outlineLevel="0" collapsed="false">
      <c r="A16" s="22" t="s">
        <v>268</v>
      </c>
      <c r="B16" s="23" t="n">
        <f aca="false">B10</f>
        <v>529.52</v>
      </c>
      <c r="C16" s="19" t="s">
        <v>269</v>
      </c>
    </row>
    <row r="17" customFormat="false" ht="15" hidden="false" customHeight="false" outlineLevel="0" collapsed="false">
      <c r="A17" s="22" t="s">
        <v>270</v>
      </c>
      <c r="B17" s="23" t="n">
        <f aca="false">B10+B13+B14</f>
        <v>722.46</v>
      </c>
      <c r="C17" s="19" t="s">
        <v>271</v>
      </c>
    </row>
    <row r="19" customFormat="false" ht="15" hidden="false" customHeight="false" outlineLevel="0" collapsed="false">
      <c r="A19" s="20" t="s">
        <v>272</v>
      </c>
      <c r="B19" s="20" t="n">
        <f aca="false">COUNTIFS(BOM!$E$5:$E$47,"&gt;0",BOM!$G$5:$G$47,"Estimate")+COUNTIFS(BOM!$E$5:$E$47,"&gt;0",BOM!$H$5:$H$47,"")</f>
        <v>8</v>
      </c>
      <c r="C19" s="19" t="s">
        <v>273</v>
      </c>
    </row>
    <row r="20" customFormat="false" ht="15" hidden="false" customHeight="false" outlineLevel="0" collapsed="false">
      <c r="A20" s="20" t="s">
        <v>274</v>
      </c>
      <c r="B20" s="20" t="n">
        <f aca="false">COUNTIFS(BOM!$E$5:$E$47,"&gt;0",BOM!$G$5:$G$47,"Verified")</f>
        <v>8</v>
      </c>
      <c r="C20" s="19" t="s">
        <v>275</v>
      </c>
    </row>
    <row r="22" customFormat="false" ht="15" hidden="false" customHeight="false" outlineLevel="0" collapsed="false">
      <c r="A22" s="22" t="s">
        <v>276</v>
      </c>
    </row>
    <row r="23" customFormat="false" ht="15" hidden="false" customHeight="false" outlineLevel="0" collapsed="false">
      <c r="A23" s="20" t="s">
        <v>277</v>
      </c>
    </row>
    <row r="24" customFormat="false" ht="15" hidden="false" customHeight="false" outlineLevel="0" collapsed="false">
      <c r="A24" s="20" t="s">
        <v>278</v>
      </c>
    </row>
    <row r="25" customFormat="false" ht="15" hidden="false" customHeight="false" outlineLevel="0" collapsed="false">
      <c r="A25" s="20" t="s">
        <v>279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0"/>
  </cols>
  <sheetData>
    <row r="1" customFormat="false" ht="15" hidden="false" customHeight="false" outlineLevel="0" collapsed="false">
      <c r="A1" s="22" t="s">
        <v>8</v>
      </c>
      <c r="B1" s="20"/>
    </row>
    <row r="2" customFormat="false" ht="15" hidden="false" customHeight="false" outlineLevel="0" collapsed="false">
      <c r="A2" s="22" t="s">
        <v>25</v>
      </c>
      <c r="B2" s="20" t="s">
        <v>280</v>
      </c>
    </row>
    <row r="3" customFormat="false" ht="15" hidden="false" customHeight="false" outlineLevel="0" collapsed="false">
      <c r="A3" s="22" t="s">
        <v>64</v>
      </c>
      <c r="B3" s="20" t="s">
        <v>281</v>
      </c>
    </row>
    <row r="4" customFormat="false" ht="15" hidden="false" customHeight="false" outlineLevel="0" collapsed="false">
      <c r="A4" s="22" t="s">
        <v>74</v>
      </c>
      <c r="B4" s="20" t="s">
        <v>282</v>
      </c>
    </row>
    <row r="5" customFormat="false" ht="15" hidden="false" customHeight="false" outlineLevel="0" collapsed="false">
      <c r="A5" s="22" t="s">
        <v>283</v>
      </c>
      <c r="B5" s="20" t="s">
        <v>284</v>
      </c>
    </row>
    <row r="6" customFormat="false" ht="15" hidden="false" customHeight="false" outlineLevel="0" collapsed="false">
      <c r="A6" s="22" t="s">
        <v>285</v>
      </c>
      <c r="B6" s="20" t="s">
        <v>286</v>
      </c>
    </row>
    <row r="7" customFormat="false" ht="15" hidden="false" customHeight="false" outlineLevel="0" collapsed="false">
      <c r="A7" s="22" t="s">
        <v>287</v>
      </c>
      <c r="B7" s="20" t="s">
        <v>288</v>
      </c>
    </row>
    <row r="8" customFormat="false" ht="15" hidden="false" customHeight="false" outlineLevel="0" collapsed="false">
      <c r="A8" s="22" t="s">
        <v>289</v>
      </c>
      <c r="B8" s="20" t="s">
        <v>290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2026-10-17T23:44:48Z</dcterms:created>
  <dc:creator>openpyxl</dc:creator>
  <dc:description/>
  <dc:language>en-US</dc:language>
  <cp:lastModifiedBy/>
  <dcterms:modified xsi:type="dcterms:W3CDTF">2026-10-17T23:44:48Z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