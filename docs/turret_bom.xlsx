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sheetId="1" state="visible" r:id="rId3"/>
    <sheet name="Summary" sheetId="2" state="visible" r:id="rId4"/>
    <sheet name="Legend" sheetId="3" state="visible" r:id="rId5"/>
    <sheet name="Buy Today (Oct 19)" sheetId="4" state="visible" r:id="rId6"/>
    <sheet name="Return to ECE Shop"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<sst xmlns="http://schemas.openxmlformats.org/spreadsheetml/2006/main" count="642" uniqueCount="388">
  <si>
    <t xml:space="preserve">Counter-UAS Turret - Bill of Materials (one row per part)</t>
  </si>
  <si>
    <t xml:space="preserve">Updated 2026-10-19. Status: Verified = I opened the live page and saw this price/stock. Needs check = price seen in a search result or unconfirmed detail. Estimate = my guess, no listing. Blue = typed-in input. Qty 0 = not counted in totals. Shipping and tax NOT included.</t>
  </si>
  <si>
    <t xml:space="preserve">ORANGE rows = ECE SHOP LOANS: I must RETURN them (see the Return to ECE Shop tab).  PURPLE rows = from my 2k7 lab kit (free, mine).  Both cost $0 here.</t>
  </si>
  <si>
    <t xml:space="preserve">#</t>
  </si>
  <si>
    <t xml:space="preserve">Subsystem</t>
  </si>
  <si>
    <t xml:space="preserve">Part name</t>
  </si>
  <si>
    <t xml:space="preserve">Specific component</t>
  </si>
  <si>
    <t xml:space="preserve">Qty</t>
  </si>
  <si>
    <t xml:space="preserve">Prototype</t>
  </si>
  <si>
    <t xml:space="preserve">Status</t>
  </si>
  <si>
    <t xml:space="preserve">Unit price ($)</t>
  </si>
  <si>
    <t xml:space="preserve">Ext. price ($)</t>
  </si>
  <si>
    <t xml:space="preserve">Vendor</t>
  </si>
  <si>
    <t xml:space="preserve">Link</t>
  </si>
  <si>
    <t xml:space="preserve">Est. arrival</t>
  </si>
  <si>
    <t xml:space="preserve">Why I chose it</t>
  </si>
  <si>
    <t xml:space="preserve">CAD footprint</t>
  </si>
  <si>
    <t xml:space="preserve">KiCad footprint</t>
  </si>
  <si>
    <t xml:space="preserve">Notes / watch-outs</t>
  </si>
  <si>
    <t xml:space="preserve">Decide by</t>
  </si>
  <si>
    <t xml:space="preserve">Order by</t>
  </si>
  <si>
    <t xml:space="preserve">PROTOTYPE 1 - order now (breadboard motors + trained model + laser)</t>
  </si>
  <si>
    <t xml:space="preserve">Control</t>
  </si>
  <si>
    <t xml:space="preserve">Microcontroller dev board</t>
  </si>
  <si>
    <t xml:space="preserve">STMicroelectronics NUCLEO-G474RE (Nucleo-64, STM32G474RE)</t>
  </si>
  <si>
    <t xml:space="preserve">P1</t>
  </si>
  <si>
    <t xml:space="preserve">Verified</t>
  </si>
  <si>
    <t xml:space="preserve">Digi-Key</t>
  </si>
  <si>
    <t xml:space="preserve">Digi-Key. Shipping time not shown on the page; confirm at checkout.</t>
  </si>
  <si>
    <t xml:space="preserve">I wanted the motor brain to be the one the industry or resume people will like better, so STM32 instead of ESP32, with one condition: it must cost only about 5 extra hours, because time is my tightest limit (10-12 hrs/week). We used Arduino-style code (PlatformIO) to hold it to that. The Nucleo-G474RE is a chip plus a built-in USB programmer on one board, so I can start testing motors right away. The G474 was chosen because the G431RB is out of stock with a 99-week lead time. Escape hatch: if no motor is turning by Oct 26, I switch to an ESP32-S3. I also chose to make my custom PCB a carrier board that this Nucleo plugs into, so this board stays in the finished turret.</t>
  </si>
  <si>
    <t xml:space="preserve">Seen in stock (1,981) on digikey.com. Its '99 weeks' is the restock lead time, not your wait. Amazon sellers charge $88-349, do not buy there. Ask the Purdue ECE shop first; if they have a Nucleo board, skip this. 2026-10-19: the ECE shop loaned me a Nucleo-144 (row below), so I can start motor tests now. That board goes back, so the final turret still needs a Nucleo I own. This row stays counted until I decide which Nucleo the PCB is built for.</t>
  </si>
  <si>
    <t xml:space="preserve">Oct 24 (decide which Nucleo the PCB is built for)</t>
  </si>
  <si>
    <t xml:space="preserve">Oct 24 at the latest (Digi-Key). Put it in one order with the TVS so I pay shipping once.</t>
  </si>
  <si>
    <t xml:space="preserve">Nucleo-144 dev board (ECE shop LOAN)</t>
  </si>
  <si>
    <t xml:space="preserve">STM32 Nucleo-144 with the STM32F746ZG chip, in its black case (the shop's other board was an F413ZH)</t>
  </si>
  <si>
    <t xml:space="preserve">Free: ECE shop (RETURN)</t>
  </si>
  <si>
    <t xml:space="preserve">ECE shop (RETURN)</t>
  </si>
  <si>
    <t xml:space="preserve">n/a</t>
  </si>
  <si>
    <t xml:space="preserve">The shop only had two Nucleo-144 boards. I picked the F746ZG over the F413ZH because it is faster (216 MHz vs 100 MHz) and more people use it, so there are more tutorials. It is free and I have it today, so I can start the motor tests now instead of waiting for a board to ship. It is a loan, so it goes back to the ECE shop.</t>
  </si>
  <si>
    <t xml:space="preserve">RETURN to the ECE shop. In the code project, pick the STM32F746ZG (not the G474 or the H723; the shop catalog's link for it was wrong). The programming port looks like Micro-B in the photo, which matches the Micro-B cable I got. A Nucleo-144 does not plug into a carrier made for the smaller Nucleo-64, so use jumper wires for P1.</t>
  </si>
  <si>
    <t xml:space="preserve">Done Oct 19</t>
  </si>
  <si>
    <t xml:space="preserve">Not buying (loan). Return it to the ECE shop.</t>
  </si>
  <si>
    <t xml:space="preserve">Motion</t>
  </si>
  <si>
    <t xml:space="preserve">Closed-loop motor + driver kit (pan + tilt)</t>
  </si>
  <si>
    <t xml:space="preserve">BIGTREETECH S42C V1.1 + metal cover + motor kit (Octobigtree)</t>
  </si>
  <si>
    <t xml:space="preserve">Amazon</t>
  </si>
  <si>
    <t xml:space="preserve">Listing showed delivery Sun Oct 18 on your screen.</t>
  </si>
  <si>
    <t xml:space="preserve">Closed-loop motors were in the original spec: backlash and lost steps were named as a top failure risk, and a turret has to turn fast to track a moving target without losing its aim. I need motors soon so I can start the CAD, the breadboard wiring and model training, so the pick had to arrive in days. The BTT S42C kit includes the motor, the driver and the position sensor, so there is nothing to match up, costs $39.99 each, and Amazon showed delivery Oct 18. Plain steppers with separate drivers (about $50 for two axes) were rejected as open-loop. I chose 12 V for the motor rail because a 12 V battery is much cheaper than a 24 V one, and my rule was: if it is not that much slower, go 12 V. The 24 V hedge came from my worry that a turret must move fast: the PCB parts are rated for 24 V so I can upgrade later without a new board.</t>
  </si>
  <si>
    <t xml:space="preserve">Motor is included per the listing title ('S42C V1.1 + Metal Protective Cover + Motor'). Voltage is not stated on the page; BTT's V1.0 manual rates 1.65 A at 12 V. Power it first from the bench supply at 12 V with about a 1 A current limit. Pinout in the V1.0 manual may differ from V1.1, so read the labels printed on your board. 30-day free returns if a unit is dead (some reviewers report dead units).</t>
  </si>
  <si>
    <t xml:space="preserve">Decided</t>
  </si>
  <si>
    <t xml:space="preserve">Sat Oct 17 night or Mon Oct 19 at the latest (ECE will not have these; critical path for the Oct 26 test)</t>
  </si>
  <si>
    <t xml:space="preserve">Laser</t>
  </si>
  <si>
    <t xml:space="preserve">Laser module (lock-on indicator)</t>
  </si>
  <si>
    <t xml:space="preserve">AREALER 4-pack 5 mW 650 nm red dot laser modules, 5 V (Walmart item 14322024651)</t>
  </si>
  <si>
    <t xml:space="preserve">Walmart</t>
  </si>
  <si>
    <t xml:space="preserve">Free shipping; arrival date needs your ZIP code (not checked).</t>
  </si>
  <si>
    <t xml:space="preserve">I want the laser in Prototype 1 because I want to see the result of it firing when the model detects. I chose this cheap 4-pack ($7.61) over the $25 Quarton to save about $17 and said not to worry about the maker's power guarantee. 4 modules also means spares while I test the wiring.</t>
  </si>
  <si>
    <t xml:space="preserve">5 mW = Class 3R, ABOVE the project's 1 mW rule, and unbranded with no ratings, so the real power is unknown. Wall or paper target only, never aim at people, pets or shiny surfaces, never look into it. Do not call it Class 2.</t>
  </si>
  <si>
    <t xml:space="preserve">Mon Oct 19 at the latest; check arrival date at checkout (marketplace seller)</t>
  </si>
  <si>
    <t xml:space="preserve">Laser switch (transistor)</t>
  </si>
  <si>
    <t xml:space="preserve">Logic-level N-channel MOSFET: IRLU024N from the ECE shop (2 transistors in the bag; one is a small 3-leg TO-92 part, probably a 2N7000 or 2N2222A, so read the print). Backup: the RFD3055LE logic-level MOSFET in the 2k7 kit.</t>
  </si>
  <si>
    <t xml:space="preserve">ECE shop (RETURN) + 2k7 kit</t>
  </si>
  <si>
    <t xml:space="preserve">An STM32 pin is too weak to power the laser by itself, so this small electronic switch lets the pin turn the laser on and off. The ECE shop gave me the part and my 2k7 kit has a second logic-level MOSFET, so I do not need to buy the $1.80 Digi-Key ones.</t>
  </si>
  <si>
    <t xml:space="preserve">Replaces the 2 x $1.80 Digi-Key order. The laser only draws about 40 mA, so any of these parts works. Ask the desk whether the shop wants small parts like this back.</t>
  </si>
  <si>
    <t xml:space="preserve">Not buying (free)</t>
  </si>
  <si>
    <t xml:space="preserve">Vision</t>
  </si>
  <si>
    <t xml:space="preserve">USB camera (final camera)</t>
  </si>
  <si>
    <t xml:space="preserve">Arducam 1080p HDR autofocus USB camera module, 78 deg diagonal, metal body (ASIN B0FX47YSJQ)</t>
  </si>
  <si>
    <t xml:space="preserve">Page showed free delivery Mon Oct 19 (order within ~8 hours of Oct 17 evening).</t>
  </si>
  <si>
    <t xml:space="preserve">My two reasons: (1) I want the model trained on the same camera the turret will actually use, because a different camera changes the picture quality and hurts training; (2) the camera mount in my CAD depends on the camera's exact size, so choosing the final camera now means I do not redo the CAD. I do NOT want to buy the Pi now, and the Pi camera only works on a Pi, so I needed a camera that plugs into both my laptop and the Pi later: a USB camera. I set a $27 ceiling and picked this Arducam for autofocus, a narrower 78-degree view, a 1 m cable in the box and a small metal body I can unscrew from its stand and mount in a printed holder. I accepted a cheaper picture than the $39-65 cameras and may upgrade once I am committed.</t>
  </si>
  <si>
    <t xml:space="preserve">You plan to unscrew it from its stand and mount just the case. When it arrives, check MJPG 1920x1080 at 30 fps is listed (v4l2-ctl --list-formats-ext on Linux, or OBS on your laptop); return it if not. Includes a 1 m USB cable with a JST connector. Only 22 ratings, 4.0 stars (100+ bought last month). The page does not list MJPEG, cable length, size or weight: get the dimensions before finishing the camera mount in CAD. Cheaper picture quality than the $39-65 cameras. Fallbacks: Arducam IMX219 autofocus $38.99 (B09BR1RNSN), ELP IMX362 $64.99 (B0DQNP1MP9).</t>
  </si>
  <si>
    <t xml:space="preserve">Sat Oct 17 night for Mon delivery, or Mon Oct 19 at the latest (does not depend on the ECE shop)</t>
  </si>
  <si>
    <t xml:space="preserve">Power</t>
  </si>
  <si>
    <t xml:space="preserve">12 V 5 A wall adapter (BACKUP, not counted)</t>
  </si>
  <si>
    <t xml:space="preserve">Facmogu 12 V 5 A, 60 W AC-DC adapter (ASIN B0711Q5B49)</t>
  </si>
  <si>
    <t xml:space="preserve">Needs check</t>
  </si>
  <si>
    <t xml:space="preserve">Not seen. Check the listing.</t>
  </si>
  <si>
    <t xml:space="preserve">I asked whether the turret could run from a simple laptop charger for now and do the battery later, because the battery set was expensive and I cannot spend $300 in one month. A 12 V 5 A wall adapter is the cheap answer: 12 V is the motor voltage I picked, and 5 A (60 W) covers the estimated peak of about 87 W with some margin. The ECE shop may have one for free, so I will check Monday before buying.</t>
  </si>
  <si>
    <t xml:space="preserve">Not counted while I use the shop's Neewer 12 V 3 A loan. Buy this if the shop needs the Neewer back before Dec 12, or if 3 A keeps shutting off. Check the plug is 5.5x2.1 mm before ordering. Check the plug is 5.5x2.1 mm (the title does not say). The ECE shop may have a 12 V supply you can use.</t>
  </si>
  <si>
    <t xml:space="preserve">Nov 15 (only if the shop wants the Neewer back before the demo, or 3 A is too small)</t>
  </si>
  <si>
    <t xml:space="preserve">Nov 20 at the latest, only if needed (Amazon, 2 days)</t>
  </si>
  <si>
    <t xml:space="preserve">12 V 3 A wall adapter (ECE shop LOAN)</t>
  </si>
  <si>
    <t xml:space="preserve">NEEWER NW-120300D2 power supply: 100-240 V AC in, 12 V DC 3.0 A out, barrel plug, UL listed</t>
  </si>
  <si>
    <t xml:space="preserve">It powers the two motors for P1. 12 V is the motor voltage I picked, and 3 A is enough while I set each motor's current to about 1 A. It is a free loan from the ECE shop, so I do not pay the $11.99 for the 5 A adapter yet.</t>
  </si>
  <si>
    <t xml:space="preserve">RETURN to the ECE shop. The label says output 12 V DC (the AC on the label is the wall side). 3 A is near the limit: two motors can pull about 3.3 A if both stall, so keep each motor's current setting near 1 A. Before connecting: check the plug is 5.5x2.1 mm with the center pin positive (+), and measure about 12 V DC at the plug. The first motor power-up should still use a bench supply set to 12 V with about a 1 A limit, if I can borrow one.</t>
  </si>
  <si>
    <t xml:space="preserve">Barrel jack to screw terminals</t>
  </si>
  <si>
    <t xml:space="preserve">2.1 x 5.5 mm female DC power jack to screw terminal connector, from the 2k7 kit (kit part ELCONN-DCP.ST-M-03)</t>
  </si>
  <si>
    <t xml:space="preserve">Free: 2k7 kit</t>
  </si>
  <si>
    <t xml:space="preserve">2k7 kit</t>
  </si>
  <si>
    <t xml:space="preserve">Lets me plug the wall adapter in and get two plain wires (+ and -) for the breadboard. My 2k7 lab kit already comes with one, so I do not need the $6.99 Amazon 20-pack.</t>
  </si>
  <si>
    <t xml:space="preserve">Replaces the Amazon 20-pack. Check the loan adapter's plug really is 5.5 x 2.1 mm (it fits this jack if so).</t>
  </si>
  <si>
    <t xml:space="preserve">Fuse holder</t>
  </si>
  <si>
    <t xml:space="preserve">Inline ATC (regular size) blade fuse holder, rated 15 A or more. Reference part: Bussmann #12, Hemlock SKU 580112</t>
  </si>
  <si>
    <t xml:space="preserve">Estimate</t>
  </si>
  <si>
    <t xml:space="preserve">Auto parts store / ECE shop (Hemlock = fallback)</t>
  </si>
  <si>
    <t xml:space="preserve">Same day at a local store (not checked). Hemlock fallback: in stock, 1-2 day delivery.</t>
  </si>
  <si>
    <t xml:space="preserve">I asked what a fuse is and why I need it: it is a cheap part that melts on a short circuit and cuts power before wires get hot, and the holder lets me replace it. I chose to skip the online store (Hemlock) because of its shipping cost and to buy at an auto parts store or get it from the ECE shop. Must be a regular ATC size, rated 15 A or more.</t>
  </si>
  <si>
    <t xml:space="preserve">Skip Hemlock (shipping). Buy at AutoZone/O'Reilly or ask the ECE shop. Must be regular ATC size (not Mini/Micro), 15 A or more, with thick wire. Price is a guess.</t>
  </si>
  <si>
    <t xml:space="preserve">Oct 19 (after ECE shop check)</t>
  </si>
  <si>
    <t xml:space="preserve">Mon Oct 19 (local store, same day)</t>
  </si>
  <si>
    <t xml:space="preserve">Fuse</t>
  </si>
  <si>
    <t xml:space="preserve">15 A regular-size ATC blade fuses, multi-pack. Reference part: Bussmann 4-pack, Hemlock SKU 573597</t>
  </si>
  <si>
    <t xml:space="preserve">Same reasoning as the holder: protects the wiring in a short. 15 A is above the estimated 10 A peak so it will not blow during normal motor bursts. I will buy local or from the ECE shop to avoid shipping.</t>
  </si>
  <si>
    <t xml:space="preserve">Buy spares. If it blows, find out why before replacing it. For P1 on the 3 A loan adapter, a 5 A fuse is enough. 15 A is the final-turret value.</t>
  </si>
  <si>
    <t xml:space="preserve">Oct 19 (local store)</t>
  </si>
  <si>
    <t xml:space="preserve">Spike protector (TVS diode)</t>
  </si>
  <si>
    <t xml:space="preserve">Littelfuse SMCJ15A, 15 V standoff, DO-214AB</t>
  </si>
  <si>
    <t xml:space="preserve">Motors switching on and off create brief voltage spikes far above 12 V, and this part clamps them so they cannot hurt the drivers or the chip. It fits my 24 V upgrade hedge (I swap it for a higher-voltage version if I move to 24 V). It costs $0.99.</t>
  </si>
  <si>
    <t xml:space="preserve">Use digikey.com, not the Australian site. Price/stock came from Grok, not confirmed by me (I confirmed the part and its 24.4 V clamp). If you move to 24 V later, swap this for a higher-voltage version.</t>
  </si>
  <si>
    <t xml:space="preserve">Oct 24, in the same Digi-Key order as the Nucleo (a $0.99 part is not worth its own shipping)</t>
  </si>
  <si>
    <t xml:space="preserve">Bulk capacitor</t>
  </si>
  <si>
    <t xml:space="preserve">100 uF 35 V electrolytic x2 from the 2k7 kit (kit part ELCAP-AE-35V-100U-05), used as a stand-in for the 1000 uF</t>
  </si>
  <si>
    <t xml:space="preserve">A small water tank for electricity that smooths the motors' power gulps. The ECE shop's 1000 uF capacitors are only rated 16 V, which is too low for a 12 V rail that can spike, so I use my kit's 100 uF 35 V ones for P1.</t>
  </si>
  <si>
    <t xml:space="preserve">100 uF is ten times smaller than my 1000 uF plan, which is fine for P1 on a current-limited supply because the S42C boards have their own capacitors. For the final turret, buy a 1000 uF 35 V capacitor (fallback: https://www.getfpv.com/black-xt60-lipo-pigtail-w-35v-1000uf-capacitor-12awg-3pcs.html, $10.99). Never use the shop's 16 V ones on the motor rail.</t>
  </si>
  <si>
    <t xml:space="preserve">Wiring</t>
  </si>
  <si>
    <t xml:space="preserve">Breadboard + jumper wires (2k7 kit)</t>
  </si>
  <si>
    <t xml:space="preserve">EurekaLeap 3220 tie-point solderless breadboard with 4 binding posts + 350-piece 22 AWG jumper wire set (both from the 2k7 kit)</t>
  </si>
  <si>
    <t xml:space="preserve">My 2k7 lab kit comes with a big breadboard and a 350-piece jumper wire set, so I do not buy any.</t>
  </si>
  <si>
    <t xml:space="preserve">The binding posts on the board are handy for the 12 V in and ground.</t>
  </si>
  <si>
    <t xml:space="preserve">Resistors (2k7 kit)</t>
  </si>
  <si>
    <t xml:space="preserve">Resistor pack, 1/2 W 1%: 5 of most values, 10 each of 1, 100, 1k, 10k, 100k, 1M (includes 220 ohm and 10k ohm)</t>
  </si>
  <si>
    <t xml:space="preserve">The MOSFET needs a 220 ohm resistor on its gate and a 10k ohm resistor to hold it off. My kit has both, so I do not need the shop's.</t>
  </si>
  <si>
    <t xml:space="preserve">Kit part RES-120-00100-EH.</t>
  </si>
  <si>
    <t xml:space="preserve">Male pin headers (ECE shop)</t>
  </si>
  <si>
    <t xml:space="preserve">Standard single-row male pin header strips (from the shop's drawer 101)</t>
  </si>
  <si>
    <t xml:space="preserve">For connecting the motor driver boards and jumper wires to the breadboard.</t>
  </si>
  <si>
    <t xml:space="preserve">Small parts. Ask the desk whether they want these back.</t>
  </si>
  <si>
    <t xml:space="preserve">Hand tools (2k7 kit)</t>
  </si>
  <si>
    <t xml:space="preserve">Multi-purpose crimp / strip / cut tool (14-24 AWG), pocket 1/8 in screwdriver, banana-plug test leads, clamp</t>
  </si>
  <si>
    <t xml:space="preserve">The kit's tool strips and cuts wire, so I do not borrow wire strippers. The small screwdriver fits terminal screws.</t>
  </si>
  <si>
    <t xml:space="preserve">Kit parts ELTOOL-WCS-YTH-5022-01, ELACC-TSCREWDRIVER-C-01, ELCAB-BNTPL-RB-36i-01.</t>
  </si>
  <si>
    <t xml:space="preserve">USB cable: USB-A to Micro-B (ECE shop LOAN)</t>
  </si>
  <si>
    <t xml:space="preserve">USB data cable with a USB-A plug on one end and a Micro-B plug on the other (from my photos), black braided</t>
  </si>
  <si>
    <t xml:space="preserve">The Nucleo's programming port looks like Micro-B. The shop gave me a cable that matches it, so I do not need to buy one.</t>
  </si>
  <si>
    <t xml:space="preserve">RETURN to the ECE shop. Test it: plug it into the Nucleo and my laptop. If the board lights up but the laptop sees nothing new, it is charge-only. It plugs straight into my laptop's USB-A port.</t>
  </si>
  <si>
    <t xml:space="preserve">USB cable: USB-A to USB-C (ECE shop LOAN)</t>
  </si>
  <si>
    <t xml:space="preserve">USB cable with a USB-A plug and a USB-C plug, black braided (from my photos)</t>
  </si>
  <si>
    <t xml:space="preserve">A second cable from the shop. Free, so I keep it as a spare.</t>
  </si>
  <si>
    <t xml:space="preserve">RETURN to the ECE shop. My laptop has both USB-A and USB-C ports, so this is just a spare.</t>
  </si>
  <si>
    <t xml:space="preserve">Mechanical</t>
  </si>
  <si>
    <t xml:space="preserve">Screws, standoffs, fasteners</t>
  </si>
  <si>
    <t xml:space="preserve">M3 screw assortment (motor mounts are M3 on NEMA 17) plus whatever your CAD needs</t>
  </si>
  <si>
    <t xml:space="preserve">Amazon / hardware store</t>
  </si>
  <si>
    <t xml:space="preserve">I have access to a 3D printer, so I print the pan-tilt frame and the camera holder, and I can only list exact screw sizes after the CAD is done. I do not own screws but can get them. This $15 is a placeholder.</t>
  </si>
  <si>
    <t xml:space="preserve">Allowance only. Finish the CAD, then list exact screw sizes and lengths before buying. You can print the structure yourself.</t>
  </si>
  <si>
    <t xml:space="preserve">After the CAD is done (target Oct 24)</t>
  </si>
  <si>
    <t xml:space="preserve">By Oct 26 (must arrive before Nov 2)</t>
  </si>
  <si>
    <t xml:space="preserve">Test</t>
  </si>
  <si>
    <t xml:space="preserve">Multimeter</t>
  </si>
  <si>
    <t xml:space="preserve">Borrowed from a lab or a friend</t>
  </si>
  <si>
    <t xml:space="preserve">Borrowed</t>
  </si>
  <si>
    <t xml:space="preserve">To measure voltage and find shorts before connecting anything expensive. Borrowed.</t>
  </si>
  <si>
    <t xml:space="preserve">Not in my Oct 19 photos, so I still need to borrow one. Bench supply: use a ~1 A current limit for the first motor power-up. The 2k7 kit has banana-plug test leads but no meter.</t>
  </si>
  <si>
    <t xml:space="preserve">PROTOTYPE 1 TOTAL</t>
  </si>
  <si>
    <t xml:space="preserve">PCB - target order Oct 30, hard limit Nov 1 (exams start Nov 2; it ships during the dead zone). Parts depend on your design. Prices are estimates.</t>
  </si>
  <si>
    <t xml:space="preserve">PCB</t>
  </si>
  <si>
    <t xml:space="preserve">DECISION (pinned): power input connector on PCB</t>
  </si>
  <si>
    <t xml:space="preserve">Suggested: screw terminal (takes a wall adapter now, a battery later)</t>
  </si>
  <si>
    <t xml:space="preserve">Open</t>
  </si>
  <si>
    <t xml:space="preserve">I chose option D on Oct 17: a barrel jack AND an XT60 battery connector footprint, only one connected at a time. The wall adapter plugs into the barrel jack today and cannot go in backwards; a battery drops into the XT60 later with no redesign. A bare screw terminal was rejected because it can be wired backwards and loosen from vibration. The PCB is only ordered once, so the way power enters has to be right the first time.</t>
  </si>
  <si>
    <t xml:space="preserve">Pinned. Discuss after the other open items. Not a purchase.</t>
  </si>
  <si>
    <t xml:space="preserve">Oct 24 (so PCB layout can start)</t>
  </si>
  <si>
    <t xml:space="preserve">PCB fabrication</t>
  </si>
  <si>
    <t xml:space="preserve">5 boards, 2 layers, from JLCPCB or PCBWay (your design)</t>
  </si>
  <si>
    <t xml:space="preserve">JLCPCB / PCBWay</t>
  </si>
  <si>
    <t xml:space="preserve">Target Oct 30; hard limit Nov 1.</t>
  </si>
  <si>
    <t xml:space="preserve">I will not compromise on the custom PCB: it is the hardware half of my resume line. The board is a carrier board that the Nucleo plugs into, which I chose over a bare-chip board to cut risk (no fine-pitch chip soldering, no chip start-up problems) while keeping a real PCB design with real soldering. It must be ordered by Nov 1 at the latest (target Oct 30) so it ships during the exam dead zone.</t>
  </si>
  <si>
    <t xml:space="preserve">Estimate includes shipping. Get a quote when the design is done.</t>
  </si>
  <si>
    <t xml:space="preserve">Design finished Oct 30</t>
  </si>
  <si>
    <t xml:space="preserve">Target Oct 30; hard limit Nov 1 (exams start Nov 2)</t>
  </si>
  <si>
    <t xml:space="preserve">Microcontroller chip (OPTIONAL, not counted)</t>
  </si>
  <si>
    <t xml:space="preserve">STM32G474 (package chosen in your design), same family as the Nucleo</t>
  </si>
  <si>
    <t xml:space="preserve">Order Oct 30 with the PCB.</t>
  </si>
  <si>
    <t xml:space="preserve">Optional and not counted, my call. The Nucleo stays on the carrier board, so the bare chip is only needed if I later go chip-down. The price was found on a Digi-Key search result.</t>
  </si>
  <si>
    <t xml:space="preserve">Optional for now: the PCB is a carrier board that the Nucleo plugs into, so the chip stays on the Nucleo. Only needed if you later go chip-down (your own chip on your own board). STM32G474RET6 (64-pin LQFP) was $10.70 on a Digi-Key search result; check stock if you do.</t>
  </si>
  <si>
    <t xml:space="preserve">Only if going chip-down</t>
  </si>
  <si>
    <t xml:space="preserve">Only if going chip-down (with the PCB order, buy 2)</t>
  </si>
  <si>
    <t xml:space="preserve">5 V module for the Pi - OPTION A (counted)</t>
  </si>
  <si>
    <t xml:space="preserve">Pololu D24V50F5, 5 V 5 A step-down regulator (item 2851)</t>
  </si>
  <si>
    <t xml:space="preserve">Pololu</t>
  </si>
  <si>
    <t xml:space="preserve">220 in stock (Oct 17). Order with the PCB.</t>
  </si>
  <si>
    <t xml:space="preserve">The Pi needs a steady 5 V at about 5 A. I asked which design was more time-efficient and looked cleaner and more professional, and chose to have the PCB power the Pi, because I need the PCB by Prototype 2/3 anyway. A ready-made module that plugs into a socket means no regulator design. Option A is the known-good one from Pololu. I said to hold the choice for about a week (around Oct 24).</t>
  </si>
  <si>
    <t xml:space="preserve">Known-good option. Needed for the final PCB (Prototype 3). In Prototype 2 the Pi runs on its wall supply instead. Option B below is cheaper but unproven.</t>
  </si>
  <si>
    <t xml:space="preserve">Oct 24 (a week out); must be settled before layout</t>
  </si>
  <si>
    <t xml:space="preserve">Oct 30, same time as the PCB order</t>
  </si>
  <si>
    <t xml:space="preserve">5 V module for the Pi - OPTION B (not counted)</t>
  </si>
  <si>
    <t xml:space="preserve">Generic 24V/12V to 5V 5A buck module, AliExpress (listing 3256809254781510)</t>
  </si>
  <si>
    <t xml:space="preserve">AliExpress</t>
  </si>
  <si>
    <t xml:space="preserve">Ships from China, likely 1-3 weeks (not checked).</t>
  </si>
  <si>
    <t xml:space="preserve">A much cheaper alternative I found, kept as a second option. The seller's 5 A claim needs testing with a meter before it ever powers a Pi. I will decide between A and B in about a week.</t>
  </si>
  <si>
    <t xml:space="preserve">The two options for the 5 V part are A (Pololu) and B (this). $5.24 normal price, 4.8 stars from only 58 reviews. The '5 A' claim is doubtful on this type of board; test with a meter and a dummy load before connecting a Pi. Footprint differs from Option A, so pick before the PCB layout is final.</t>
  </si>
  <si>
    <t xml:space="preserve">Oct 24</t>
  </si>
  <si>
    <t xml:space="preserve">If you want to TEST it before the PCB order, buy by Oct 20 (ships 1-3 weeks). Ordered later, it arrives after the PCB is already sent.</t>
  </si>
  <si>
    <t xml:space="preserve">Connectors, passives, headers</t>
  </si>
  <si>
    <t xml:space="preserve">Screw terminals, female headers for the Nucleo to plug into, resistors, capacitors for the PCB</t>
  </si>
  <si>
    <t xml:space="preserve">ECE shop / Digi-Key</t>
  </si>
  <si>
    <t xml:space="preserve">The small parts that finish the board. General items like these may be free from the Purdue ECE shop, so much of this may cost nothing.</t>
  </si>
  <si>
    <t xml:space="preserve">Much of this may be free from the ECE shop. My 2k7 kit also has 1N5819 Schottky diodes (a possible reverse-polarity part) and spare resistors.</t>
  </si>
  <si>
    <t xml:space="preserve">Oct 30</t>
  </si>
  <si>
    <t xml:space="preserve">Oct 30, same time as the PCB order (Digi-Key, 2-3 days)</t>
  </si>
  <si>
    <t xml:space="preserve">PCB TOTAL</t>
  </si>
  <si>
    <t xml:space="preserve">PROTOTYPE 2 - order by Nov 10 (Pi wired to motors, live tracking)</t>
  </si>
  <si>
    <t xml:space="preserve">Raspberry Pi 5 (8 GB)</t>
  </si>
  <si>
    <t xml:space="preserve">Raspberry Pi 5 8GB, board only (CanaKit SKU PI5-8GB)</t>
  </si>
  <si>
    <t xml:space="preserve">P2</t>
  </si>
  <si>
    <t xml:space="preserve">CanaKit</t>
  </si>
  <si>
    <t xml:space="preserve">In stock per the page; shipping time not checked.</t>
  </si>
  <si>
    <t xml:space="preserve">I chose the 8 GB version and said I did not want the 4 GB: the RAM cannot be upgraded later, and the extra room helps with bigger models and the semester 2 drone work. I decided NOT to buy the Pi now; it is a Prototype 2 purchase, ordered by Nov 10. Training happens on my laptop or Colab, and the Pi only runs the finished model.</t>
  </si>
  <si>
    <t xml:space="preserve">PiShop also lists $175. Adafruit lists $200. The 4 GB is $110 at CanaKit (not chosen).</t>
  </si>
  <si>
    <t xml:space="preserve">Nov 6</t>
  </si>
  <si>
    <t xml:space="preserve">By Nov 10 (arrive before Nov 20)</t>
  </si>
  <si>
    <t xml:space="preserve">Pi power supply</t>
  </si>
  <si>
    <t xml:space="preserve">RasTech 27 W GaN USB-C PD supply, 5.1 V 5 A for Raspberry Pi 5 (ASIN B0CLV6WB4L)</t>
  </si>
  <si>
    <t xml:space="preserve">In Prototype 2 the Pi runs from its own wall supply so a bug in the brand-new PCB cannot ruin the checkpoint. The Pi wants 5 V at 5 A; a weaker charger can make it crash.</t>
  </si>
  <si>
    <t xml:space="preserve">Official Pi 27 W supply is $22.91 on Amazon if you want the safest option. Check reviews for 5 A output.</t>
  </si>
  <si>
    <t xml:space="preserve">By Nov 10, same CanaKit order</t>
  </si>
  <si>
    <t xml:space="preserve">Pi cooler</t>
  </si>
  <si>
    <t xml:space="preserve">Raspberry Pi 5 Active Cooler (CanaKit SKU RSP-ACTIVE-COOLER)</t>
  </si>
  <si>
    <t xml:space="preserve">In stock per the page.</t>
  </si>
  <si>
    <t xml:space="preserve">Running the model makes the Pi hot and a hot Pi slows itself down. A heatsink with a small fan keeps it fast during a demo. A passive heatsink from the ECE shop may do.</t>
  </si>
  <si>
    <t xml:space="preserve">Order with the Pi to save shipping. A passive heatsink from the ECE shop may work if it is cooler where you test.</t>
  </si>
  <si>
    <t xml:space="preserve">Coral USB Accelerator (optional)</t>
  </si>
  <si>
    <t xml:space="preserve">Google Coral USB Accelerator, Edge TPU, model G950-01456-01 (Amazon listing B07S214S5Y)</t>
  </si>
  <si>
    <t xml:space="preserve">Amazon search result showed delivery Fri Oct 23 (confirm at checkout).</t>
  </si>
  <si>
    <t xml:space="preserve">I asked what I lose without it and why I need another chip to run the model. Answer: the Pi 5's own chip probably runs the model fast enough, and a benchmark says the Pi 5 is about on par for this kind of model. I chose to PIN it as optional because it plugs into the Pi over USB, so adding it later changes nothing on the PCB or the wiring. The price swings from $89 to $200 and the Newark listing will not deliver until 2027. I decide at P2 after measuring the Pi alone.</t>
  </si>
  <si>
    <t xml:space="preserve">Qty 0 so it is not counted. Prices for the same product vary by seller ($108.99 to $199.99 on Amazon; this $135.00 listing is the one you picked). Newark lists it at $89.35 (https://www.newark.com/coral/g950-01456-01/usb-accelerator-raspberry-pi/dp/26AJ4884) but says deliveries start 1/10/2027 and the lead time is 41 weeks, so it will not arrive before Dec 12. Evidence that you may not need it: Hackster's benchmark says Pi 5 TFLite performance is roughly on par with the Coral for MobileNet SSD models, and a Pi 4 CPU manages 2-5 fps.</t>
  </si>
  <si>
    <t xml:space="preserve">Nov 23 (after measuring the Pi alone)</t>
  </si>
  <si>
    <t xml:space="preserve">Nov 23, only if needed (Amazon 2-day; check the price first)</t>
  </si>
  <si>
    <t xml:space="preserve">microSD card</t>
  </si>
  <si>
    <t xml:space="preserve">32 GB or larger microSD card</t>
  </si>
  <si>
    <t xml:space="preserve">ECE shop or own</t>
  </si>
  <si>
    <t xml:space="preserve">The Pi boots from this and stores the model. Probably free from the ECE shop or a card I already own.</t>
  </si>
  <si>
    <t xml:space="preserve">Probably free from the ECE shop or a card you already own.</t>
  </si>
  <si>
    <t xml:space="preserve">By Nov 10 (or ECE shop)</t>
  </si>
  <si>
    <t xml:space="preserve">PROTOTYPE 2 TOTAL</t>
  </si>
  <si>
    <t xml:space="preserve">OPTIONAL / NOT COUNTED (qty 0): battery set and alternatives. Decide in late November.</t>
  </si>
  <si>
    <t xml:space="preserve">Battery charger</t>
  </si>
  <si>
    <t xml:space="preserve">Waveshare PSU-12.6V2A-5.5-2.1-US (12.6 V, 2 A)</t>
  </si>
  <si>
    <t xml:space="preserve">P3</t>
  </si>
  <si>
    <t xml:space="preserve">Waveshare</t>
  </si>
  <si>
    <t xml:space="preserve">Not verified.</t>
  </si>
  <si>
    <t xml:space="preserve">I decided no battery pack yet. The battery set is optional and not counted; I can add it later once I am committed to the project. Needed only if I build the pack.</t>
  </si>
  <si>
    <t xml:space="preserve">Only needed if you build the battery pack.</t>
  </si>
  <si>
    <t xml:space="preserve">Nov 22</t>
  </si>
  <si>
    <t xml:space="preserve">Nov 24, only if building a battery</t>
  </si>
  <si>
    <t xml:space="preserve">Power switch + reverse-polarity protection</t>
  </si>
  <si>
    <t xml:space="preserve">Pololu Big Pushbutton Power Switch with Reverse Voltage Protection, HP (item #2813)</t>
  </si>
  <si>
    <t xml:space="preserve">Pololu ships same day from Las Vegas; confirm at checkout.</t>
  </si>
  <si>
    <t xml:space="preserve">Part of the optional battery set I decided to hold off on. A push-button switch that also blocks a backwards battery.</t>
  </si>
  <si>
    <t xml:space="preserve">Not an emergency cutoff. Only needed with the battery.</t>
  </si>
  <si>
    <t xml:space="preserve">Battery pack</t>
  </si>
  <si>
    <t xml:space="preserve">3S2P 18650 pack with BMS, &gt;= 6 Ah, BMS &gt;= 15 A. Build or buy decided at P3</t>
  </si>
  <si>
    <t xml:space="preserve">TBD</t>
  </si>
  <si>
    <t xml:space="preserve">I asked why the battery is so expensive and chose to leave it out for now and run from the wall adapter. Buy-or-build is a late-November decision; the price is an estimate for a DIY pack.</t>
  </si>
  <si>
    <t xml:space="preserve">Price is my estimate for a DIY pack ($40-45). Pre-made packs I found miss the current spec or lack a stated BMS.</t>
  </si>
  <si>
    <t xml:space="preserve">Nov 24, only if building a battery (must arrive before Dec 1)</t>
  </si>
  <si>
    <t xml:space="preserve">ALTERNATIVE: Stepper motor (pan + tilt)</t>
  </si>
  <si>
    <t xml:space="preserve">STEPPERONLINE NEMA 17 bipolar stepper, 2 A, 59 Ncm, 48 mm body, 1 m cable (ASIN B00PNEQKC0)</t>
  </si>
  <si>
    <t xml:space="preserve">ALT</t>
  </si>
  <si>
    <t xml:space="preserve">Amazon Prime. Listing showed free delivery Sun Oct 18 (confirm at checkout).</t>
  </si>
  <si>
    <t xml:space="preserve">Not counted. I went back to closed-loop kits; this open-loop option stays only as a fallback.</t>
  </si>
  <si>
    <t xml:space="preserve">Not counted: we went back to closed-loop kits. Plain (open-loop) stepper: no position sensor. Fine for a light load. Encoder feedback is a stretch goal.</t>
  </si>
  <si>
    <t xml:space="preserve">ALTERNATIVE: Stepper driver (pan + tilt)</t>
  </si>
  <si>
    <t xml:space="preserve">BIGTREETECH TMC2209 V1.3 stepper driver module, STEP/DIR + UART (ASIN B07ZPV4HFP)</t>
  </si>
  <si>
    <t xml:space="preserve">Amazon Prime. Listing showed free delivery Mon Oct 19 (confirm at checkout).</t>
  </si>
  <si>
    <t xml:space="preserve">Not counted: we went back to closed-loop kits. The title says one module but a bullet mentions '4PCS'. Open the page and check the quantity before ordering. If it is a single, buy 2. Set the current limit to about 1.2-1.5 A.</t>
  </si>
  <si>
    <t xml:space="preserve">SHIPPING AND TAX ALLOWANCE (counted). Estimate until you check out.</t>
  </si>
  <si>
    <t xml:space="preserve">Allowance</t>
  </si>
  <si>
    <t xml:space="preserve">Shipping + tax allowance</t>
  </si>
  <si>
    <t xml:space="preserve">Digi-Key (~$8-10), CanaKit (~$10-15), Hemlock (~$6), Indiana sales tax on non-Amazon orders, plus a cushion</t>
  </si>
  <si>
    <t xml:space="preserve">SHIP</t>
  </si>
  <si>
    <t xml:space="preserve">So the total is closer to what actually leaves my account. I said not to fret too much about the budget because a friend may help fund the build in exchange for a resume credit.</t>
  </si>
  <si>
    <t xml:space="preserve">Amazon Prime items ship free. Replace this number with the real checkout totals as you order.</t>
  </si>
  <si>
    <t xml:space="preserve">China orders + unknowns allowance</t>
  </si>
  <si>
    <t xml:space="preserve">AliExpress/Alibaba orders (slow shipping, tax), plus parts you find you need once you start building</t>
  </si>
  <si>
    <t xml:space="preserve">I want to budget for orders from China (slow shipping, tax) and for surprises I will only find once I start building.</t>
  </si>
  <si>
    <t xml:space="preserve">A guess. Replace it with real numbers as you go; delete whatever you do not use.</t>
  </si>
  <si>
    <t xml:space="preserve">SHIPPING + TAX ALLOWANCE TOTAL</t>
  </si>
  <si>
    <t xml:space="preserve">GRAND TOTAL (all counted rows: P1 + PCB + P2 + shipping/tax)</t>
  </si>
  <si>
    <t xml:space="preserve">Budget summary</t>
  </si>
  <si>
    <t xml:space="preserve">Budget target ($)</t>
  </si>
  <si>
    <t xml:space="preserve">Your target. Change it here and everything below updates. Shipping and tax are NOT in these numbers.</t>
  </si>
  <si>
    <t xml:space="preserve">Prototype 1 (order now)</t>
  </si>
  <si>
    <t xml:space="preserve">Closed-loop kits, G474 dev board, laser, camera, fuse, TVS. ECE shop loans and 2k7 kit parts are $0.</t>
  </si>
  <si>
    <t xml:space="preserve">PCB (order target Oct 30, hard limit Nov 1)</t>
  </si>
  <si>
    <t xml:space="preserve">Estimates; depends on your design.</t>
  </si>
  <si>
    <t xml:space="preserve">Prototype 2 (order by Nov 10)</t>
  </si>
  <si>
    <t xml:space="preserve">Pi 5 8 GB, power supply, cooler, Camera Module 3, cable.</t>
  </si>
  <si>
    <t xml:space="preserve">Shipping + tax allowance (estimate)</t>
  </si>
  <si>
    <t xml:space="preserve">Replace with real checkout totals.</t>
  </si>
  <si>
    <t xml:space="preserve">Prototype 3 / optional (battery)</t>
  </si>
  <si>
    <t xml:space="preserve">Qty 0 right now, so not counted. Coral is also not counted (see Coral row).</t>
  </si>
  <si>
    <t xml:space="preserve">TOTAL (counted rows)</t>
  </si>
  <si>
    <t xml:space="preserve">Remaining vs target</t>
  </si>
  <si>
    <t xml:space="preserve">Negative (red) means over target.</t>
  </si>
  <si>
    <t xml:space="preserve">If you add the battery set later (reference)</t>
  </si>
  <si>
    <t xml:space="preserve">Charger + switch + pack estimate.</t>
  </si>
  <si>
    <t xml:space="preserve">Decide at P2 after measuring the Pi alone.</t>
  </si>
  <si>
    <t xml:space="preserve">GRAND TOTAL WITHOUT optional items</t>
  </si>
  <si>
    <t xml:space="preserve">Everything you actually need, incl. shipping/tax allowance.</t>
  </si>
  <si>
    <t xml:space="preserve">GRAND TOTAL WITH optional items</t>
  </si>
  <si>
    <t xml:space="preserve">Adds battery set + Coral.</t>
  </si>
  <si>
    <t xml:space="preserve">Counted rows still 'Estimate' or unpriced</t>
  </si>
  <si>
    <t xml:space="preserve">Rows whose price is a guess or missing.</t>
  </si>
  <si>
    <t xml:space="preserve">Counted rows marked Verified</t>
  </si>
  <si>
    <t xml:space="preserve">Seen on the live listing.</t>
  </si>
  <si>
    <t xml:space="preserve">What the ECE shop and my 2k7 kit covered</t>
  </si>
  <si>
    <t xml:space="preserve">- Got free on Oct 19 (return the ECE shop ones): Nucleo-144 F746ZG loan, Neewer 12 V 3 A adapter, 2 USB cables, pin headers, 2 transistors</t>
  </si>
  <si>
    <t xml:space="preserve">- From my 2k7 kit: breadboard, jumper wires, resistors, DC jack with screw terminals, 100 uF caps, hand tool</t>
  </si>
  <si>
    <t xml:space="preserve">- Replaced Oct 17 items: 12 V 5 A adapter ($11.99, now a backup), barrel jack 20-pack ($6.99), 2 MOSFETs ($3.60)</t>
  </si>
  <si>
    <t xml:space="preserve">- Still not free: S42C motor kits, Arducam, laser pack, fuse + holder, TVS, G474 Nucleo, screws, PCB, Pi parts</t>
  </si>
  <si>
    <t xml:space="preserve">I opened the live product page and saw this price and stock.</t>
  </si>
  <si>
    <t xml:space="preserve">Price came from a search result or a detail is unconfirmed. Check it before buying.</t>
  </si>
  <si>
    <t xml:space="preserve">My guess. No listing yet.</t>
  </si>
  <si>
    <t xml:space="preserve">Owned / Borrowed</t>
  </si>
  <si>
    <t xml:space="preserve">Not purchased, not counted.</t>
  </si>
  <si>
    <t xml:space="preserve">Qty 0</t>
  </si>
  <si>
    <t xml:space="preserve">Not counted in totals (owned, optional, or an alternative).</t>
  </si>
  <si>
    <t xml:space="preserve">Yellow cells</t>
  </si>
  <si>
    <t xml:space="preserve">CAD and KiCad footprints, filled in later.</t>
  </si>
  <si>
    <t xml:space="preserve">Free: 2k7 kit (purple)</t>
  </si>
  <si>
    <t xml:space="preserve">Comes in my ECE 2k7 lab kit. Costs $0 and I keep it.</t>
  </si>
  <si>
    <t xml:space="preserve">Free: ECE shop (orange)</t>
  </si>
  <si>
    <t xml:space="preserve">Loan from the ECE shop. Costs $0 but I must RETURN it. See the Return to ECE Shop tab.</t>
  </si>
  <si>
    <t xml:space="preserve">Safety</t>
  </si>
  <si>
    <t xml:space="preserve">The laser is only a lock-on indicator. Never aim it at people, pets or shiny surfaces.</t>
  </si>
  <si>
    <t xml:space="preserve">What I still have to BUY - Mon Oct 19, 2026</t>
  </si>
  <si>
    <t xml:space="preserve">Everything else for Prototype 1 is free: ECE shop loans (return them) and my 2k7 kit. Prices are from the BOM tab.</t>
  </si>
  <si>
    <t xml:space="preserve">BUY TODAY (do not depend on the ECE shop)</t>
  </si>
  <si>
    <t xml:space="preserve">Done</t>
  </si>
  <si>
    <t xml:space="preserve">Item</t>
  </si>
  <si>
    <t xml:space="preserve">Unit ($)</t>
  </si>
  <si>
    <t xml:space="preserve">Ext ($)</t>
  </si>
  <si>
    <t xml:space="preserve">Notes</t>
  </si>
  <si>
    <t xml:space="preserve">☐</t>
  </si>
  <si>
    <t xml:space="preserve">BIGTREETECH S42C closed-loop motor + driver kit (pan + tilt)</t>
  </si>
  <si>
    <t xml:space="preserve">Critical path: the Oct 26 motor test needs these. The ECE shop has no motors. The kit includes the motor. 30-day free returns.</t>
  </si>
  <si>
    <t xml:space="preserve">Arducam 1080p autofocus USB camera</t>
  </si>
  <si>
    <t xml:space="preserve">Final camera for training and the turret. When it arrives, check MJPG 1920x1080 at 30 fps is listed (v4l2-ctl or OBS); return it if not.</t>
  </si>
  <si>
    <t xml:space="preserve">AREALER 5 mW red laser 4-pack</t>
  </si>
  <si>
    <t xml:space="preserve">Check the arrival date at checkout (marketplace seller). Never aim at people, pets or shiny surfaces.</t>
  </si>
  <si>
    <t xml:space="preserve">Inline ATC fuse holder (regular size)</t>
  </si>
  <si>
    <t xml:space="preserve">Local auto parts / hardware store</t>
  </si>
  <si>
    <t xml:space="preserve">Buy at a local auto parts store or hardware store, same day. Price is a guess. Regular ATC size, thick wire.</t>
  </si>
  <si>
    <t xml:space="preserve">ATC blade fuses (5-10 A for P1; 15 A for the final turret)</t>
  </si>
  <si>
    <t xml:space="preserve">Local store, same day. Buy a multi-pack. Price is a guess.</t>
  </si>
  <si>
    <t xml:space="preserve">TOTAL TO BUY TODAY</t>
  </si>
  <si>
    <t xml:space="preserve">DIGI-KEY ORDER - by Fri Oct 24 (one order, so shipping is paid once)</t>
  </si>
  <si>
    <t xml:space="preserve">STMicroelectronics NUCLEO-G474RE</t>
  </si>
  <si>
    <t xml:space="preserve">Needed for the final turret because the shop's Nucleo goes back. Confirm Digi-Key shows it in stock when I order.</t>
  </si>
  <si>
    <t xml:space="preserve">Littelfuse SMCJ15A spike protector (TVS diode)</t>
  </si>
  <si>
    <t xml:space="preserve">A $0.99 part, so it rides in the same order as the Nucleo. The first bench power-up uses a current limit, so it can wait.</t>
  </si>
  <si>
    <t xml:space="preserve">DIGI-KEY ORDER TOTAL (before shipping)</t>
  </si>
  <si>
    <t xml:space="preserve">LATER / ONLY IF NEEDED (not today)</t>
  </si>
  <si>
    <t xml:space="preserve">Screws, standoffs, fasteners (placeholder)</t>
  </si>
  <si>
    <t xml:space="preserve">Order by Oct 26, after the CAD is done. Must arrive before Nov 2.</t>
  </si>
  <si>
    <t xml:space="preserve">12 V 5 A wall adapter (backup)</t>
  </si>
  <si>
    <t xml:space="preserve">Only if the shop wants the Neewer back before Dec 12, or 3 A is too small. Check the plug size first.</t>
  </si>
  <si>
    <t xml:space="preserve">LATER TOTAL (if everything here is needed)</t>
  </si>
  <si>
    <t xml:space="preserve">Pi 5 parts and the PCB come later: Pi order by Nov 10, PCB order target Oct 30 (hard limit Nov 1). 5 V module choice is parked until about Oct 24.</t>
  </si>
  <si>
    <t xml:space="preserve">RETURN THESE TO THE ECE SHOP</t>
  </si>
  <si>
    <t xml:space="preserve">Everything on this list is a loan from the Purdue ECE shop. It is not mine. Bring it back when I am done.</t>
  </si>
  <si>
    <t xml:space="preserve">Shop questions: eceshop@purdue.edu. Ask the front desk how long the loan lasts and write the date in the last column. The demo is Dec 12.</t>
  </si>
  <si>
    <t xml:space="preserve">Returned</t>
  </si>
  <si>
    <t xml:space="preserve">What it is for</t>
  </si>
  <si>
    <t xml:space="preserve">Return by (ask the desk)</t>
  </si>
  <si>
    <t xml:space="preserve">STM32 Nucleo-144 dev board with STM32F746ZG, in its black case</t>
  </si>
  <si>
    <t xml:space="preserve">Motor brain for Prototype 1 (the test setup)</t>
  </si>
  <si>
    <t xml:space="preserve">Return the case too. Do not solder to it.</t>
  </si>
  <si>
    <t xml:space="preserve">NEEWER NW-120300D2 12 V 3 A power supply (with AC cord)</t>
  </si>
  <si>
    <t xml:space="preserve">Powers the motors</t>
  </si>
  <si>
    <t xml:space="preserve">Has a barrel plug. Return the plug end and the AC cord.</t>
  </si>
  <si>
    <t xml:space="preserve">USB cable, USB-A to Micro-B (black braided)</t>
  </si>
  <si>
    <t xml:space="preserve">Programs the Nucleo from my laptop</t>
  </si>
  <si>
    <t xml:space="preserve">USB cable, USB-A to USB-C (black braided)</t>
  </si>
  <si>
    <t xml:space="preserve">Spare / laptop connection</t>
  </si>
  <si>
    <t xml:space="preserve">Male pin headers (bag of strips)</t>
  </si>
  <si>
    <t xml:space="preserve">Breadboard connections</t>
  </si>
  <si>
    <t xml:space="preserve">Small parts: ask the desk whether they want these back.</t>
  </si>
  <si>
    <t xml:space="preserve">Transistors (2 in a static bag: IRLU024N + a small TO-92 part)</t>
  </si>
  <si>
    <t xml:space="preserve">Laser switch</t>
  </si>
  <si>
    <t xml:space="preserve">NOT a loan: from my 2k7 lab kit (mine, nothing to return)</t>
  </si>
  <si>
    <t xml:space="preserve">EurekaLeap 3220 breadboard with binding posts</t>
  </si>
  <si>
    <t xml:space="preserve">350-piece 22 AWG jumper wire set</t>
  </si>
  <si>
    <t xml:space="preserve">Resistor pack (220 ohm, 10k ohm and more)</t>
  </si>
  <si>
    <t xml:space="preserve">2.1 x 5.5 mm DC jack with screw terminals</t>
  </si>
  <si>
    <t xml:space="preserve">100 uF 35 V capacitors (x2) and RFD3055LE logic-level MOSFET</t>
  </si>
  <si>
    <t xml:space="preserve">Multi-purpose strip/crimp tool, pocket screwdriver, banana test leads</t>
  </si>
</sst>
</file>

<file path=xl/styles.xml><?xml version="1.0" encoding="utf-8"?>
<styleSheet xmlns="http://schemas.openxmlformats.org/spreadsheetml/2006/main">
  <numFmts count="4">
    <numFmt numFmtId="164" formatCode="General"/>
    <numFmt numFmtId="165" formatCode="\$#,##0.00;&quot;($&quot;#,##0.00\);\-"/>
    <numFmt numFmtId="166" formatCode="\$#,##0.00"/>
    <numFmt numFmtId="167" formatCode="\$#,##0.00;[RED]&quot;($&quot;#,##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C00000"/>
      <name val="Arial"/>
      <family val="0"/>
      <charset val="1"/>
    </font>
    <font>
      <b val="true"/>
      <sz val="10"/>
      <color rgb="FFFFFFFF"/>
      <name val="Arial"/>
      <family val="0"/>
      <charset val="1"/>
    </font>
    <font>
      <b val="true"/>
      <sz val="10"/>
      <name val="Arial"/>
      <family val="0"/>
      <charset val="1"/>
    </font>
    <font>
      <sz val="10"/>
      <name val="Arial"/>
      <family val="0"/>
      <charset val="1"/>
    </font>
    <font>
      <sz val="10"/>
      <color rgb="FF0000FF"/>
      <name val="Arial"/>
      <family val="0"/>
      <charset val="1"/>
    </font>
    <font>
      <u val="single"/>
      <sz val="10"/>
      <color rgb="FF0563C1"/>
      <name val="Arial"/>
      <family val="0"/>
      <charset val="1"/>
    </font>
    <font>
      <b val="true"/>
      <sz val="11"/>
      <color rgb="FFFFFFFF"/>
      <name val="Arial"/>
      <family val="0"/>
      <charset val="1"/>
    </font>
    <font>
      <b val="true"/>
      <sz val="18"/>
      <color rgb="FFC00000"/>
      <name val="Arial"/>
      <family val="0"/>
      <charset val="1"/>
    </font>
    <font>
      <b val="true"/>
      <sz val="11"/>
      <name val="Arial"/>
      <family val="0"/>
      <charset val="1"/>
    </font>
    <font>
      <i val="true"/>
      <sz val="1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D9E1F2"/>
        <bgColor rgb="FFE4DFEC"/>
      </patternFill>
    </fill>
    <fill>
      <patternFill patternType="solid">
        <fgColor rgb="FFFFFF99"/>
        <bgColor rgb="FFFCE4D6"/>
      </patternFill>
    </fill>
    <fill>
      <patternFill patternType="solid">
        <fgColor rgb="FFFCE4D6"/>
        <bgColor rgb="FFE4DFEC"/>
      </patternFill>
    </fill>
    <fill>
      <patternFill patternType="solid">
        <fgColor rgb="FFE4DFEC"/>
        <bgColor rgb="FFD9E1F2"/>
      </patternFill>
    </fill>
    <fill>
      <patternFill patternType="solid">
        <fgColor rgb="FFE2EFDA"/>
        <bgColor rgb="FFE4DFE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center" vertical="top" textRotation="0" wrapText="true" indent="0" shrinkToFit="false"/>
      <protection locked="true" hidden="false"/>
    </xf>
    <xf numFmtId="165" fontId="10" fillId="5" borderId="1" xfId="0" applyFont="true" applyBorder="true" applyAlignment="true" applyProtection="false">
      <alignment horizontal="general" vertical="top" textRotation="0" wrapText="true" indent="0" shrinkToFit="false"/>
      <protection locked="true" hidden="false"/>
    </xf>
    <xf numFmtId="165"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center" vertical="top" textRotation="0" wrapText="true" indent="0" shrinkToFit="false"/>
      <protection locked="true" hidden="false"/>
    </xf>
    <xf numFmtId="165" fontId="10" fillId="6" borderId="1" xfId="0" applyFont="true" applyBorder="true" applyAlignment="true" applyProtection="false">
      <alignment horizontal="general" vertical="top" textRotation="0" wrapText="true" indent="0" shrinkToFit="false"/>
      <protection locked="true" hidden="false"/>
    </xf>
    <xf numFmtId="165" fontId="9" fillId="6" borderId="1" xfId="0" applyFont="true" applyBorder="true" applyAlignment="true" applyProtection="false">
      <alignment horizontal="general" vertical="top" textRotation="0" wrapText="tru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6" fontId="8" fillId="7" borderId="1"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6" fontId="12" fillId="2"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E4DFEC"/>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igikey.com/en/products/detail/stmicroelectronics/NUCLEO-G474RE/10231585" TargetMode="External"/><Relationship Id="rId2" Type="http://schemas.openxmlformats.org/officeDocument/2006/relationships/hyperlink" Target="https://www.amazon.com/dp/B09LHFS2HF" TargetMode="External"/><Relationship Id="rId3" Type="http://schemas.openxmlformats.org/officeDocument/2006/relationships/hyperlink" Target="https://www.walmart.com/ip/4pcs-5mW-650nm-Laser-Transmitter-Module-Red-Dot-Diode-for-Sensor-Projects/14322024651" TargetMode="External"/><Relationship Id="rId4" Type="http://schemas.openxmlformats.org/officeDocument/2006/relationships/hyperlink" Target="https://www.amazon.com/dp/B0FX47YSJQ" TargetMode="External"/><Relationship Id="rId5" Type="http://schemas.openxmlformats.org/officeDocument/2006/relationships/hyperlink" Target="https://www.amazon.com/dp/B0711Q5B49" TargetMode="External"/><Relationship Id="rId6" Type="http://schemas.openxmlformats.org/officeDocument/2006/relationships/hyperlink" Target="https://hemlockhardware.com/products/580112-bussmann-20-amp-12-atc-inline-blade-fuse-holder" TargetMode="External"/><Relationship Id="rId7" Type="http://schemas.openxmlformats.org/officeDocument/2006/relationships/hyperlink" Target="https://hemlockhardware.com/products/573597-bussmann-15-amp-32-volt-atc-blade-automotive-fuse-4-pack" TargetMode="External"/><Relationship Id="rId8" Type="http://schemas.openxmlformats.org/officeDocument/2006/relationships/hyperlink" Target="https://www.digikey.com/en/products/detail/littelfuse-inc/SMCJ15A/762382" TargetMode="External"/><Relationship Id="rId9" Type="http://schemas.openxmlformats.org/officeDocument/2006/relationships/hyperlink" Target="https://www.digikey.com/en/products/result?keywords=STM32G474RET6" TargetMode="External"/><Relationship Id="rId10" Type="http://schemas.openxmlformats.org/officeDocument/2006/relationships/hyperlink" Target="https://www.pololu.com/product/2851" TargetMode="External"/><Relationship Id="rId11" Type="http://schemas.openxmlformats.org/officeDocument/2006/relationships/hyperlink" Target="https://www.aliexpress.us/item/3256809254781510.html" TargetMode="External"/><Relationship Id="rId12" Type="http://schemas.openxmlformats.org/officeDocument/2006/relationships/hyperlink" Target="https://www.canakit.com/raspberry-pi-5-8gb.html" TargetMode="External"/><Relationship Id="rId13" Type="http://schemas.openxmlformats.org/officeDocument/2006/relationships/hyperlink" Target="https://www.amazon.com/dp/B0CLV6WB4L" TargetMode="External"/><Relationship Id="rId14" Type="http://schemas.openxmlformats.org/officeDocument/2006/relationships/hyperlink" Target="https://www.canakit.com/raspberry-pi-5-active-cooler.html" TargetMode="External"/><Relationship Id="rId15" Type="http://schemas.openxmlformats.org/officeDocument/2006/relationships/hyperlink" Target="https://www.amazon.com/dp/B07S214S5Y" TargetMode="External"/><Relationship Id="rId16" Type="http://schemas.openxmlformats.org/officeDocument/2006/relationships/hyperlink" Target="https://www.waveshare.com/product/psu-12.6v2a-5.5-2.1-eu.htm" TargetMode="External"/><Relationship Id="rId17" Type="http://schemas.openxmlformats.org/officeDocument/2006/relationships/hyperlink" Target="https://www.pololu.com/product/2813" TargetMode="External"/><Relationship Id="rId18" Type="http://schemas.openxmlformats.org/officeDocument/2006/relationships/hyperlink" Target="https://www.amazon.com/dp/B00PNEQKC0" TargetMode="External"/><Relationship Id="rId19" Type="http://schemas.openxmlformats.org/officeDocument/2006/relationships/hyperlink" Target="https://www.amazon.com/dp/B07ZPV4HFP"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amazon.com/dp/B09LHFS2HF" TargetMode="External"/><Relationship Id="rId2" Type="http://schemas.openxmlformats.org/officeDocument/2006/relationships/hyperlink" Target="https://www.amazon.com/dp/B0FX47YSJQ" TargetMode="External"/><Relationship Id="rId3" Type="http://schemas.openxmlformats.org/officeDocument/2006/relationships/hyperlink" Target="https://www.walmart.com/ip/4pcs-5mW-650nm-Laser-Transmitter-Module-Red-Dot-Diode-for-Sensor-Projects/14322024651" TargetMode="External"/><Relationship Id="rId4" Type="http://schemas.openxmlformats.org/officeDocument/2006/relationships/hyperlink" Target="https://hemlockhardware.com/products/580112-bussmann-20-amp-12-atc-inline-blade-fuse-holder" TargetMode="External"/><Relationship Id="rId5" Type="http://schemas.openxmlformats.org/officeDocument/2006/relationships/hyperlink" Target="https://hemlockhardware.com/products/573597-bussmann-15-amp-32-volt-atc-blade-automotive-fuse-4-pack" TargetMode="External"/><Relationship Id="rId6" Type="http://schemas.openxmlformats.org/officeDocument/2006/relationships/hyperlink" Target="https://www.digikey.com/en/products/detail/stmicroelectronics/NUCLEO-G474RE/10231585" TargetMode="External"/><Relationship Id="rId7" Type="http://schemas.openxmlformats.org/officeDocument/2006/relationships/hyperlink" Target="https://www.digikey.com/en/products/detail/littelfuse-inc/SMCJ15A/762382" TargetMode="External"/><Relationship Id="rId8" Type="http://schemas.openxmlformats.org/officeDocument/2006/relationships/hyperlink" Target="https://www.amazon.com/dp/B0711Q5B4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
    <col collapsed="false" customWidth="true" hidden="false" outlineLevel="0" max="3" min="3" style="0" width="22"/>
    <col collapsed="false" customWidth="true" hidden="false" outlineLevel="0" max="4" min="4" style="0" width="42"/>
    <col collapsed="false" customWidth="true" hidden="false" outlineLevel="0" max="5" min="5" style="0" width="6"/>
    <col collapsed="false" customWidth="true" hidden="false" outlineLevel="0" max="6" min="6" style="0" width="10"/>
    <col collapsed="false" customWidth="true" hidden="false" outlineLevel="0" max="7" min="7" style="0" width="14"/>
    <col collapsed="false" customWidth="true" hidden="false" outlineLevel="0" max="9" min="8" style="0" width="11"/>
    <col collapsed="false" customWidth="true" hidden="false" outlineLevel="0" max="10" min="10" style="0" width="16"/>
    <col collapsed="false" customWidth="true" hidden="false" outlineLevel="0" max="11" min="11" style="0" width="8"/>
    <col collapsed="false" customWidth="true" hidden="false" outlineLevel="0" max="12" min="12" style="0" width="26"/>
    <col collapsed="false" customWidth="true" hidden="false" outlineLevel="0" max="13" min="13" style="0" width="90"/>
    <col collapsed="false" customWidth="true" hidden="false" outlineLevel="0" max="15" min="14" style="0" width="16"/>
    <col collapsed="false" customWidth="true" hidden="false" outlineLevel="0" max="16" min="16" style="0" width="56"/>
    <col collapsed="false" customWidth="true" hidden="false" outlineLevel="0" max="17" min="17" style="0" width="26"/>
    <col collapsed="false" customWidth="true" hidden="false" outlineLevel="0" max="18" min="18" style="0" width="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30" hidden="false" customHeight="true" outlineLevel="0" collapsed="false">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row>
    <row r="5" customFormat="false" ht="19.5" hidden="false" customHeight="true" outlineLevel="0" collapsed="false">
      <c r="A5" s="5" t="s">
        <v>21</v>
      </c>
      <c r="B5" s="5"/>
      <c r="C5" s="5"/>
      <c r="D5" s="5"/>
      <c r="E5" s="5"/>
      <c r="F5" s="5"/>
      <c r="G5" s="5"/>
      <c r="H5" s="5"/>
      <c r="I5" s="5"/>
      <c r="J5" s="5"/>
      <c r="K5" s="5"/>
      <c r="L5" s="5"/>
      <c r="M5" s="5"/>
      <c r="N5" s="5"/>
      <c r="O5" s="5"/>
      <c r="P5" s="5"/>
      <c r="Q5" s="5"/>
      <c r="R5" s="5"/>
    </row>
    <row r="6" customFormat="false" ht="117" hidden="false" customHeight="true" outlineLevel="0" collapsed="false">
      <c r="A6" s="6" t="n">
        <v>1</v>
      </c>
      <c r="B6" s="7" t="s">
        <v>22</v>
      </c>
      <c r="C6" s="7" t="s">
        <v>23</v>
      </c>
      <c r="D6" s="7" t="s">
        <v>24</v>
      </c>
      <c r="E6" s="8" t="n">
        <v>1</v>
      </c>
      <c r="F6" s="6" t="s">
        <v>25</v>
      </c>
      <c r="G6" s="6" t="s">
        <v>26</v>
      </c>
      <c r="H6" s="9" t="n">
        <v>20.13</v>
      </c>
      <c r="I6" s="10" t="n">
        <f aca="false">IF(H6="","",E6*H6)</f>
        <v>20.13</v>
      </c>
      <c r="J6" s="7" t="s">
        <v>27</v>
      </c>
      <c r="K6" s="11" t="s">
        <v>13</v>
      </c>
      <c r="L6" s="7" t="s">
        <v>28</v>
      </c>
      <c r="M6" s="7" t="s">
        <v>29</v>
      </c>
      <c r="N6" s="12"/>
      <c r="O6" s="12"/>
      <c r="P6" s="7" t="s">
        <v>30</v>
      </c>
      <c r="Q6" s="7" t="s">
        <v>31</v>
      </c>
      <c r="R6" s="7" t="s">
        <v>32</v>
      </c>
    </row>
    <row r="7" customFormat="false" ht="78" hidden="false" customHeight="true" outlineLevel="0" collapsed="false">
      <c r="A7" s="13" t="n">
        <v>2</v>
      </c>
      <c r="B7" s="14" t="s">
        <v>22</v>
      </c>
      <c r="C7" s="14" t="s">
        <v>33</v>
      </c>
      <c r="D7" s="14" t="s">
        <v>34</v>
      </c>
      <c r="E7" s="15" t="n">
        <v>1</v>
      </c>
      <c r="F7" s="13" t="s">
        <v>25</v>
      </c>
      <c r="G7" s="13" t="s">
        <v>35</v>
      </c>
      <c r="H7" s="16" t="n">
        <v>0</v>
      </c>
      <c r="I7" s="17" t="n">
        <f aca="false">IF(H7="","",E7*H7)</f>
        <v>0</v>
      </c>
      <c r="J7" s="14" t="s">
        <v>36</v>
      </c>
      <c r="K7" s="14"/>
      <c r="L7" s="14" t="s">
        <v>37</v>
      </c>
      <c r="M7" s="14" t="s">
        <v>38</v>
      </c>
      <c r="N7" s="12"/>
      <c r="O7" s="12"/>
      <c r="P7" s="14" t="s">
        <v>39</v>
      </c>
      <c r="Q7" s="14" t="s">
        <v>40</v>
      </c>
      <c r="R7" s="14" t="s">
        <v>41</v>
      </c>
    </row>
    <row r="8" customFormat="false" ht="129.75" hidden="false" customHeight="true" outlineLevel="0" collapsed="false">
      <c r="A8" s="6" t="n">
        <v>3</v>
      </c>
      <c r="B8" s="7" t="s">
        <v>42</v>
      </c>
      <c r="C8" s="7" t="s">
        <v>43</v>
      </c>
      <c r="D8" s="7" t="s">
        <v>44</v>
      </c>
      <c r="E8" s="8" t="n">
        <v>2</v>
      </c>
      <c r="F8" s="6" t="s">
        <v>25</v>
      </c>
      <c r="G8" s="6" t="s">
        <v>26</v>
      </c>
      <c r="H8" s="9" t="n">
        <v>39.99</v>
      </c>
      <c r="I8" s="10" t="n">
        <f aca="false">IF(H8="","",E8*H8)</f>
        <v>79.98</v>
      </c>
      <c r="J8" s="7" t="s">
        <v>45</v>
      </c>
      <c r="K8" s="11" t="s">
        <v>13</v>
      </c>
      <c r="L8" s="7" t="s">
        <v>46</v>
      </c>
      <c r="M8" s="7" t="s">
        <v>47</v>
      </c>
      <c r="N8" s="12"/>
      <c r="O8" s="12"/>
      <c r="P8" s="7" t="s">
        <v>48</v>
      </c>
      <c r="Q8" s="7" t="s">
        <v>49</v>
      </c>
      <c r="R8" s="7" t="s">
        <v>50</v>
      </c>
    </row>
    <row r="9" customFormat="false" ht="64.5" hidden="false" customHeight="true" outlineLevel="0" collapsed="false">
      <c r="A9" s="6" t="n">
        <v>4</v>
      </c>
      <c r="B9" s="7" t="s">
        <v>51</v>
      </c>
      <c r="C9" s="7" t="s">
        <v>52</v>
      </c>
      <c r="D9" s="7" t="s">
        <v>53</v>
      </c>
      <c r="E9" s="8" t="n">
        <v>1</v>
      </c>
      <c r="F9" s="6" t="s">
        <v>25</v>
      </c>
      <c r="G9" s="6" t="s">
        <v>26</v>
      </c>
      <c r="H9" s="9" t="n">
        <v>7.61</v>
      </c>
      <c r="I9" s="10" t="n">
        <f aca="false">IF(H9="","",E9*H9)</f>
        <v>7.61</v>
      </c>
      <c r="J9" s="7" t="s">
        <v>54</v>
      </c>
      <c r="K9" s="11" t="s">
        <v>13</v>
      </c>
      <c r="L9" s="7" t="s">
        <v>55</v>
      </c>
      <c r="M9" s="7" t="s">
        <v>56</v>
      </c>
      <c r="N9" s="12"/>
      <c r="O9" s="12"/>
      <c r="P9" s="7" t="s">
        <v>57</v>
      </c>
      <c r="Q9" s="7" t="s">
        <v>49</v>
      </c>
      <c r="R9" s="7" t="s">
        <v>58</v>
      </c>
    </row>
    <row r="10" customFormat="false" ht="78" hidden="false" customHeight="true" outlineLevel="0" collapsed="false">
      <c r="A10" s="13" t="n">
        <v>5</v>
      </c>
      <c r="B10" s="14" t="s">
        <v>51</v>
      </c>
      <c r="C10" s="14" t="s">
        <v>59</v>
      </c>
      <c r="D10" s="14" t="s">
        <v>60</v>
      </c>
      <c r="E10" s="15" t="n">
        <v>2</v>
      </c>
      <c r="F10" s="13" t="s">
        <v>25</v>
      </c>
      <c r="G10" s="13" t="s">
        <v>35</v>
      </c>
      <c r="H10" s="16" t="n">
        <v>0</v>
      </c>
      <c r="I10" s="17" t="n">
        <f aca="false">IF(H10="","",E10*H10)</f>
        <v>0</v>
      </c>
      <c r="J10" s="14" t="s">
        <v>61</v>
      </c>
      <c r="K10" s="14"/>
      <c r="L10" s="14" t="s">
        <v>28</v>
      </c>
      <c r="M10" s="14" t="s">
        <v>62</v>
      </c>
      <c r="N10" s="12"/>
      <c r="O10" s="12"/>
      <c r="P10" s="14" t="s">
        <v>63</v>
      </c>
      <c r="Q10" s="14" t="s">
        <v>40</v>
      </c>
      <c r="R10" s="14" t="s">
        <v>64</v>
      </c>
    </row>
    <row r="11" customFormat="false" ht="142.5" hidden="false" customHeight="true" outlineLevel="0" collapsed="false">
      <c r="A11" s="6" t="n">
        <v>6</v>
      </c>
      <c r="B11" s="7" t="s">
        <v>65</v>
      </c>
      <c r="C11" s="7" t="s">
        <v>66</v>
      </c>
      <c r="D11" s="7" t="s">
        <v>67</v>
      </c>
      <c r="E11" s="8" t="n">
        <v>1</v>
      </c>
      <c r="F11" s="6" t="s">
        <v>25</v>
      </c>
      <c r="G11" s="6" t="s">
        <v>26</v>
      </c>
      <c r="H11" s="9" t="n">
        <v>19.99</v>
      </c>
      <c r="I11" s="10" t="n">
        <f aca="false">IF(H11="","",E11*H11)</f>
        <v>19.99</v>
      </c>
      <c r="J11" s="7" t="s">
        <v>45</v>
      </c>
      <c r="K11" s="11" t="s">
        <v>13</v>
      </c>
      <c r="L11" s="7" t="s">
        <v>68</v>
      </c>
      <c r="M11" s="7" t="s">
        <v>69</v>
      </c>
      <c r="N11" s="12"/>
      <c r="O11" s="12"/>
      <c r="P11" s="7" t="s">
        <v>70</v>
      </c>
      <c r="Q11" s="7" t="s">
        <v>49</v>
      </c>
      <c r="R11" s="7" t="s">
        <v>71</v>
      </c>
    </row>
    <row r="12" customFormat="false" ht="78" hidden="false" customHeight="true" outlineLevel="0" collapsed="false">
      <c r="A12" s="6" t="n">
        <v>7</v>
      </c>
      <c r="B12" s="7" t="s">
        <v>72</v>
      </c>
      <c r="C12" s="7" t="s">
        <v>73</v>
      </c>
      <c r="D12" s="7" t="s">
        <v>74</v>
      </c>
      <c r="E12" s="8" t="n">
        <v>0</v>
      </c>
      <c r="F12" s="6" t="s">
        <v>25</v>
      </c>
      <c r="G12" s="6" t="s">
        <v>75</v>
      </c>
      <c r="H12" s="9" t="n">
        <v>11.99</v>
      </c>
      <c r="I12" s="10" t="n">
        <f aca="false">IF(H12="","",E12*H12)</f>
        <v>0</v>
      </c>
      <c r="J12" s="7" t="s">
        <v>45</v>
      </c>
      <c r="K12" s="11" t="s">
        <v>13</v>
      </c>
      <c r="L12" s="7" t="s">
        <v>76</v>
      </c>
      <c r="M12" s="7" t="s">
        <v>77</v>
      </c>
      <c r="N12" s="12"/>
      <c r="O12" s="12"/>
      <c r="P12" s="7" t="s">
        <v>78</v>
      </c>
      <c r="Q12" s="7" t="s">
        <v>79</v>
      </c>
      <c r="R12" s="7" t="s">
        <v>80</v>
      </c>
    </row>
    <row r="13" customFormat="false" ht="103.5" hidden="false" customHeight="true" outlineLevel="0" collapsed="false">
      <c r="A13" s="13" t="n">
        <v>8</v>
      </c>
      <c r="B13" s="14" t="s">
        <v>72</v>
      </c>
      <c r="C13" s="14" t="s">
        <v>81</v>
      </c>
      <c r="D13" s="14" t="s">
        <v>82</v>
      </c>
      <c r="E13" s="15" t="n">
        <v>1</v>
      </c>
      <c r="F13" s="13" t="s">
        <v>25</v>
      </c>
      <c r="G13" s="13" t="s">
        <v>35</v>
      </c>
      <c r="H13" s="16" t="n">
        <v>0</v>
      </c>
      <c r="I13" s="17" t="n">
        <f aca="false">IF(H13="","",E13*H13)</f>
        <v>0</v>
      </c>
      <c r="J13" s="14" t="s">
        <v>36</v>
      </c>
      <c r="K13" s="14"/>
      <c r="L13" s="14" t="s">
        <v>37</v>
      </c>
      <c r="M13" s="14" t="s">
        <v>83</v>
      </c>
      <c r="N13" s="12"/>
      <c r="O13" s="12"/>
      <c r="P13" s="14" t="s">
        <v>84</v>
      </c>
      <c r="Q13" s="14" t="s">
        <v>40</v>
      </c>
      <c r="R13" s="14" t="s">
        <v>41</v>
      </c>
    </row>
    <row r="14" customFormat="false" ht="45" hidden="false" customHeight="true" outlineLevel="0" collapsed="false">
      <c r="A14" s="18" t="n">
        <v>9</v>
      </c>
      <c r="B14" s="19" t="s">
        <v>72</v>
      </c>
      <c r="C14" s="19" t="s">
        <v>85</v>
      </c>
      <c r="D14" s="19" t="s">
        <v>86</v>
      </c>
      <c r="E14" s="20" t="n">
        <v>1</v>
      </c>
      <c r="F14" s="18" t="s">
        <v>25</v>
      </c>
      <c r="G14" s="18" t="s">
        <v>87</v>
      </c>
      <c r="H14" s="21" t="n">
        <v>0</v>
      </c>
      <c r="I14" s="22" t="n">
        <f aca="false">IF(H14="","",E14*H14)</f>
        <v>0</v>
      </c>
      <c r="J14" s="19" t="s">
        <v>88</v>
      </c>
      <c r="K14" s="19"/>
      <c r="L14" s="19" t="s">
        <v>37</v>
      </c>
      <c r="M14" s="19" t="s">
        <v>89</v>
      </c>
      <c r="N14" s="12"/>
      <c r="O14" s="12"/>
      <c r="P14" s="19" t="s">
        <v>90</v>
      </c>
      <c r="Q14" s="19" t="s">
        <v>40</v>
      </c>
      <c r="R14" s="19" t="s">
        <v>64</v>
      </c>
    </row>
    <row r="15" customFormat="false" ht="51.75" hidden="false" customHeight="true" outlineLevel="0" collapsed="false">
      <c r="A15" s="6" t="n">
        <v>10</v>
      </c>
      <c r="B15" s="7" t="s">
        <v>72</v>
      </c>
      <c r="C15" s="7" t="s">
        <v>91</v>
      </c>
      <c r="D15" s="7" t="s">
        <v>92</v>
      </c>
      <c r="E15" s="8" t="n">
        <v>1</v>
      </c>
      <c r="F15" s="6" t="s">
        <v>25</v>
      </c>
      <c r="G15" s="6" t="s">
        <v>93</v>
      </c>
      <c r="H15" s="9" t="n">
        <v>5</v>
      </c>
      <c r="I15" s="10" t="n">
        <f aca="false">IF(H15="","",E15*H15)</f>
        <v>5</v>
      </c>
      <c r="J15" s="7" t="s">
        <v>94</v>
      </c>
      <c r="K15" s="11" t="s">
        <v>13</v>
      </c>
      <c r="L15" s="7" t="s">
        <v>95</v>
      </c>
      <c r="M15" s="7" t="s">
        <v>96</v>
      </c>
      <c r="N15" s="12"/>
      <c r="O15" s="12"/>
      <c r="P15" s="7" t="s">
        <v>97</v>
      </c>
      <c r="Q15" s="7" t="s">
        <v>98</v>
      </c>
      <c r="R15" s="7" t="s">
        <v>99</v>
      </c>
    </row>
    <row r="16" customFormat="false" ht="45" hidden="false" customHeight="true" outlineLevel="0" collapsed="false">
      <c r="A16" s="6" t="n">
        <v>11</v>
      </c>
      <c r="B16" s="7" t="s">
        <v>72</v>
      </c>
      <c r="C16" s="7" t="s">
        <v>100</v>
      </c>
      <c r="D16" s="7" t="s">
        <v>101</v>
      </c>
      <c r="E16" s="8" t="n">
        <v>1</v>
      </c>
      <c r="F16" s="6" t="s">
        <v>25</v>
      </c>
      <c r="G16" s="6" t="s">
        <v>93</v>
      </c>
      <c r="H16" s="9" t="n">
        <v>6</v>
      </c>
      <c r="I16" s="10" t="n">
        <f aca="false">IF(H16="","",E16*H16)</f>
        <v>6</v>
      </c>
      <c r="J16" s="7" t="s">
        <v>94</v>
      </c>
      <c r="K16" s="11" t="s">
        <v>13</v>
      </c>
      <c r="L16" s="7" t="s">
        <v>95</v>
      </c>
      <c r="M16" s="7" t="s">
        <v>102</v>
      </c>
      <c r="N16" s="12"/>
      <c r="O16" s="12"/>
      <c r="P16" s="7" t="s">
        <v>103</v>
      </c>
      <c r="Q16" s="7" t="s">
        <v>104</v>
      </c>
      <c r="R16" s="7" t="s">
        <v>99</v>
      </c>
    </row>
    <row r="17" customFormat="false" ht="51.75" hidden="false" customHeight="true" outlineLevel="0" collapsed="false">
      <c r="A17" s="6" t="n">
        <v>12</v>
      </c>
      <c r="B17" s="7" t="s">
        <v>72</v>
      </c>
      <c r="C17" s="7" t="s">
        <v>105</v>
      </c>
      <c r="D17" s="7" t="s">
        <v>106</v>
      </c>
      <c r="E17" s="8" t="n">
        <v>1</v>
      </c>
      <c r="F17" s="6" t="s">
        <v>25</v>
      </c>
      <c r="G17" s="6" t="s">
        <v>75</v>
      </c>
      <c r="H17" s="9" t="n">
        <v>0.99</v>
      </c>
      <c r="I17" s="10" t="n">
        <f aca="false">IF(H17="","",E17*H17)</f>
        <v>0.99</v>
      </c>
      <c r="J17" s="7" t="s">
        <v>27</v>
      </c>
      <c r="K17" s="11" t="s">
        <v>13</v>
      </c>
      <c r="L17" s="7" t="s">
        <v>28</v>
      </c>
      <c r="M17" s="7" t="s">
        <v>107</v>
      </c>
      <c r="N17" s="12"/>
      <c r="O17" s="12"/>
      <c r="P17" s="7" t="s">
        <v>108</v>
      </c>
      <c r="Q17" s="7" t="s">
        <v>49</v>
      </c>
      <c r="R17" s="7" t="s">
        <v>109</v>
      </c>
    </row>
    <row r="18" customFormat="false" ht="90.75" hidden="false" customHeight="true" outlineLevel="0" collapsed="false">
      <c r="A18" s="18" t="n">
        <v>13</v>
      </c>
      <c r="B18" s="19" t="s">
        <v>72</v>
      </c>
      <c r="C18" s="19" t="s">
        <v>110</v>
      </c>
      <c r="D18" s="19" t="s">
        <v>111</v>
      </c>
      <c r="E18" s="20" t="n">
        <v>2</v>
      </c>
      <c r="F18" s="18" t="s">
        <v>25</v>
      </c>
      <c r="G18" s="18" t="s">
        <v>87</v>
      </c>
      <c r="H18" s="21" t="n">
        <v>0</v>
      </c>
      <c r="I18" s="22" t="n">
        <f aca="false">IF(H18="","",E18*H18)</f>
        <v>0</v>
      </c>
      <c r="J18" s="19" t="s">
        <v>88</v>
      </c>
      <c r="K18" s="19"/>
      <c r="L18" s="19" t="s">
        <v>37</v>
      </c>
      <c r="M18" s="19" t="s">
        <v>112</v>
      </c>
      <c r="N18" s="12"/>
      <c r="O18" s="12"/>
      <c r="P18" s="19" t="s">
        <v>113</v>
      </c>
      <c r="Q18" s="19" t="s">
        <v>40</v>
      </c>
      <c r="R18" s="19" t="s">
        <v>64</v>
      </c>
    </row>
    <row r="19" customFormat="false" ht="51.75" hidden="false" customHeight="true" outlineLevel="0" collapsed="false">
      <c r="A19" s="18" t="n">
        <v>14</v>
      </c>
      <c r="B19" s="19" t="s">
        <v>114</v>
      </c>
      <c r="C19" s="19" t="s">
        <v>115</v>
      </c>
      <c r="D19" s="19" t="s">
        <v>116</v>
      </c>
      <c r="E19" s="20" t="n">
        <v>1</v>
      </c>
      <c r="F19" s="18" t="s">
        <v>25</v>
      </c>
      <c r="G19" s="18" t="s">
        <v>87</v>
      </c>
      <c r="H19" s="21" t="n">
        <v>0</v>
      </c>
      <c r="I19" s="22" t="n">
        <f aca="false">IF(H19="","",E19*H19)</f>
        <v>0</v>
      </c>
      <c r="J19" s="19" t="s">
        <v>88</v>
      </c>
      <c r="K19" s="19"/>
      <c r="L19" s="19" t="s">
        <v>37</v>
      </c>
      <c r="M19" s="19" t="s">
        <v>117</v>
      </c>
      <c r="N19" s="12"/>
      <c r="O19" s="12"/>
      <c r="P19" s="19" t="s">
        <v>118</v>
      </c>
      <c r="Q19" s="19" t="s">
        <v>40</v>
      </c>
      <c r="R19" s="19" t="s">
        <v>64</v>
      </c>
    </row>
    <row r="20" customFormat="false" ht="45" hidden="false" customHeight="true" outlineLevel="0" collapsed="false">
      <c r="A20" s="18" t="n">
        <v>15</v>
      </c>
      <c r="B20" s="19" t="s">
        <v>114</v>
      </c>
      <c r="C20" s="19" t="s">
        <v>119</v>
      </c>
      <c r="D20" s="19" t="s">
        <v>120</v>
      </c>
      <c r="E20" s="20" t="n">
        <v>1</v>
      </c>
      <c r="F20" s="18" t="s">
        <v>25</v>
      </c>
      <c r="G20" s="18" t="s">
        <v>87</v>
      </c>
      <c r="H20" s="21" t="n">
        <v>0</v>
      </c>
      <c r="I20" s="22" t="n">
        <f aca="false">IF(H20="","",E20*H20)</f>
        <v>0</v>
      </c>
      <c r="J20" s="19" t="s">
        <v>88</v>
      </c>
      <c r="K20" s="19"/>
      <c r="L20" s="19" t="s">
        <v>37</v>
      </c>
      <c r="M20" s="19" t="s">
        <v>121</v>
      </c>
      <c r="N20" s="12"/>
      <c r="O20" s="12"/>
      <c r="P20" s="19" t="s">
        <v>122</v>
      </c>
      <c r="Q20" s="19" t="s">
        <v>40</v>
      </c>
      <c r="R20" s="19" t="s">
        <v>64</v>
      </c>
    </row>
    <row r="21" customFormat="false" ht="45" hidden="false" customHeight="true" outlineLevel="0" collapsed="false">
      <c r="A21" s="13" t="n">
        <v>16</v>
      </c>
      <c r="B21" s="14" t="s">
        <v>114</v>
      </c>
      <c r="C21" s="14" t="s">
        <v>123</v>
      </c>
      <c r="D21" s="14" t="s">
        <v>124</v>
      </c>
      <c r="E21" s="15" t="n">
        <v>1</v>
      </c>
      <c r="F21" s="13" t="s">
        <v>25</v>
      </c>
      <c r="G21" s="13" t="s">
        <v>35</v>
      </c>
      <c r="H21" s="16" t="n">
        <v>0</v>
      </c>
      <c r="I21" s="17" t="n">
        <f aca="false">IF(H21="","",E21*H21)</f>
        <v>0</v>
      </c>
      <c r="J21" s="14" t="s">
        <v>36</v>
      </c>
      <c r="K21" s="14"/>
      <c r="L21" s="14" t="s">
        <v>37</v>
      </c>
      <c r="M21" s="14" t="s">
        <v>125</v>
      </c>
      <c r="N21" s="12"/>
      <c r="O21" s="12"/>
      <c r="P21" s="14" t="s">
        <v>126</v>
      </c>
      <c r="Q21" s="14" t="s">
        <v>40</v>
      </c>
      <c r="R21" s="14" t="s">
        <v>64</v>
      </c>
    </row>
    <row r="22" customFormat="false" ht="45" hidden="false" customHeight="true" outlineLevel="0" collapsed="false">
      <c r="A22" s="18" t="n">
        <v>17</v>
      </c>
      <c r="B22" s="19" t="s">
        <v>114</v>
      </c>
      <c r="C22" s="19" t="s">
        <v>127</v>
      </c>
      <c r="D22" s="19" t="s">
        <v>128</v>
      </c>
      <c r="E22" s="20" t="n">
        <v>1</v>
      </c>
      <c r="F22" s="18" t="s">
        <v>25</v>
      </c>
      <c r="G22" s="18" t="s">
        <v>87</v>
      </c>
      <c r="H22" s="21" t="n">
        <v>0</v>
      </c>
      <c r="I22" s="22" t="n">
        <f aca="false">IF(H22="","",E22*H22)</f>
        <v>0</v>
      </c>
      <c r="J22" s="19" t="s">
        <v>88</v>
      </c>
      <c r="K22" s="19"/>
      <c r="L22" s="19" t="s">
        <v>37</v>
      </c>
      <c r="M22" s="19" t="s">
        <v>129</v>
      </c>
      <c r="N22" s="12"/>
      <c r="O22" s="12"/>
      <c r="P22" s="19" t="s">
        <v>130</v>
      </c>
      <c r="Q22" s="19" t="s">
        <v>40</v>
      </c>
      <c r="R22" s="19" t="s">
        <v>64</v>
      </c>
    </row>
    <row r="23" customFormat="false" ht="51.75" hidden="false" customHeight="true" outlineLevel="0" collapsed="false">
      <c r="A23" s="13" t="n">
        <v>18</v>
      </c>
      <c r="B23" s="14" t="s">
        <v>114</v>
      </c>
      <c r="C23" s="14" t="s">
        <v>131</v>
      </c>
      <c r="D23" s="14" t="s">
        <v>132</v>
      </c>
      <c r="E23" s="15" t="n">
        <v>1</v>
      </c>
      <c r="F23" s="13" t="s">
        <v>25</v>
      </c>
      <c r="G23" s="13" t="s">
        <v>35</v>
      </c>
      <c r="H23" s="16" t="n">
        <v>0</v>
      </c>
      <c r="I23" s="17" t="n">
        <f aca="false">IF(H23="","",E23*H23)</f>
        <v>0</v>
      </c>
      <c r="J23" s="14" t="s">
        <v>36</v>
      </c>
      <c r="K23" s="14"/>
      <c r="L23" s="14" t="s">
        <v>37</v>
      </c>
      <c r="M23" s="14" t="s">
        <v>133</v>
      </c>
      <c r="N23" s="12"/>
      <c r="O23" s="12"/>
      <c r="P23" s="14" t="s">
        <v>134</v>
      </c>
      <c r="Q23" s="14" t="s">
        <v>40</v>
      </c>
      <c r="R23" s="14" t="s">
        <v>64</v>
      </c>
    </row>
    <row r="24" customFormat="false" ht="45" hidden="false" customHeight="true" outlineLevel="0" collapsed="false">
      <c r="A24" s="13" t="n">
        <v>19</v>
      </c>
      <c r="B24" s="14" t="s">
        <v>114</v>
      </c>
      <c r="C24" s="14" t="s">
        <v>135</v>
      </c>
      <c r="D24" s="14" t="s">
        <v>136</v>
      </c>
      <c r="E24" s="15" t="n">
        <v>1</v>
      </c>
      <c r="F24" s="13" t="s">
        <v>25</v>
      </c>
      <c r="G24" s="13" t="s">
        <v>35</v>
      </c>
      <c r="H24" s="16" t="n">
        <v>0</v>
      </c>
      <c r="I24" s="17" t="n">
        <f aca="false">IF(H24="","",E24*H24)</f>
        <v>0</v>
      </c>
      <c r="J24" s="14" t="s">
        <v>36</v>
      </c>
      <c r="K24" s="14"/>
      <c r="L24" s="14" t="s">
        <v>37</v>
      </c>
      <c r="M24" s="14" t="s">
        <v>137</v>
      </c>
      <c r="N24" s="12"/>
      <c r="O24" s="12"/>
      <c r="P24" s="14" t="s">
        <v>138</v>
      </c>
      <c r="Q24" s="14" t="s">
        <v>40</v>
      </c>
      <c r="R24" s="14" t="s">
        <v>64</v>
      </c>
    </row>
    <row r="25" customFormat="false" ht="45" hidden="false" customHeight="true" outlineLevel="0" collapsed="false">
      <c r="A25" s="6" t="n">
        <v>20</v>
      </c>
      <c r="B25" s="7" t="s">
        <v>139</v>
      </c>
      <c r="C25" s="7" t="s">
        <v>140</v>
      </c>
      <c r="D25" s="7" t="s">
        <v>141</v>
      </c>
      <c r="E25" s="8" t="n">
        <v>1</v>
      </c>
      <c r="F25" s="6" t="s">
        <v>25</v>
      </c>
      <c r="G25" s="6" t="s">
        <v>93</v>
      </c>
      <c r="H25" s="9" t="n">
        <v>15</v>
      </c>
      <c r="I25" s="10" t="n">
        <f aca="false">IF(H25="","",E25*H25)</f>
        <v>15</v>
      </c>
      <c r="J25" s="7" t="s">
        <v>142</v>
      </c>
      <c r="K25" s="7"/>
      <c r="L25" s="7" t="s">
        <v>37</v>
      </c>
      <c r="M25" s="7" t="s">
        <v>143</v>
      </c>
      <c r="N25" s="12"/>
      <c r="O25" s="12"/>
      <c r="P25" s="7" t="s">
        <v>144</v>
      </c>
      <c r="Q25" s="7" t="s">
        <v>145</v>
      </c>
      <c r="R25" s="7" t="s">
        <v>146</v>
      </c>
    </row>
    <row r="26" customFormat="false" ht="51.75" hidden="false" customHeight="true" outlineLevel="0" collapsed="false">
      <c r="A26" s="6" t="n">
        <v>21</v>
      </c>
      <c r="B26" s="7" t="s">
        <v>147</v>
      </c>
      <c r="C26" s="7" t="s">
        <v>148</v>
      </c>
      <c r="D26" s="7" t="s">
        <v>149</v>
      </c>
      <c r="E26" s="8" t="n">
        <v>0</v>
      </c>
      <c r="F26" s="6" t="s">
        <v>25</v>
      </c>
      <c r="G26" s="6" t="s">
        <v>150</v>
      </c>
      <c r="H26" s="9" t="n">
        <v>0</v>
      </c>
      <c r="I26" s="10" t="n">
        <f aca="false">IF(H26="","",E26*H26)</f>
        <v>0</v>
      </c>
      <c r="J26" s="7" t="s">
        <v>37</v>
      </c>
      <c r="K26" s="7"/>
      <c r="L26" s="7" t="s">
        <v>37</v>
      </c>
      <c r="M26" s="7" t="s">
        <v>151</v>
      </c>
      <c r="N26" s="12"/>
      <c r="O26" s="12"/>
      <c r="P26" s="7" t="s">
        <v>152</v>
      </c>
      <c r="Q26" s="7"/>
      <c r="R26" s="7"/>
    </row>
    <row r="27" customFormat="false" ht="19.5" hidden="false" customHeight="true" outlineLevel="0" collapsed="false">
      <c r="A27" s="23"/>
      <c r="B27" s="23"/>
      <c r="C27" s="24" t="s">
        <v>153</v>
      </c>
      <c r="D27" s="23"/>
      <c r="E27" s="23"/>
      <c r="F27" s="23"/>
      <c r="G27" s="23"/>
      <c r="H27" s="23"/>
      <c r="I27" s="25" t="n">
        <f aca="false">SUMIFS($I$5:$I$26,$F$5:$F$26,"P1")</f>
        <v>154.7</v>
      </c>
      <c r="J27" s="23"/>
      <c r="K27" s="23"/>
      <c r="L27" s="23"/>
      <c r="M27" s="23"/>
      <c r="N27" s="23"/>
      <c r="O27" s="23"/>
      <c r="P27" s="23"/>
      <c r="Q27" s="23"/>
      <c r="R27" s="23"/>
    </row>
    <row r="28" customFormat="false" ht="19.5" hidden="false" customHeight="true" outlineLevel="0" collapsed="false">
      <c r="A28" s="5" t="s">
        <v>154</v>
      </c>
      <c r="B28" s="5"/>
      <c r="C28" s="5"/>
      <c r="D28" s="5"/>
      <c r="E28" s="5"/>
      <c r="F28" s="5"/>
      <c r="G28" s="5"/>
      <c r="H28" s="5"/>
      <c r="I28" s="5"/>
      <c r="J28" s="5"/>
      <c r="K28" s="5"/>
      <c r="L28" s="5"/>
      <c r="M28" s="5"/>
      <c r="N28" s="5"/>
      <c r="O28" s="5"/>
      <c r="P28" s="5"/>
      <c r="Q28" s="5"/>
      <c r="R28" s="5"/>
    </row>
    <row r="29" customFormat="false" ht="64.5" hidden="false" customHeight="true" outlineLevel="0" collapsed="false">
      <c r="A29" s="6" t="n">
        <v>22</v>
      </c>
      <c r="B29" s="7" t="s">
        <v>155</v>
      </c>
      <c r="C29" s="7" t="s">
        <v>156</v>
      </c>
      <c r="D29" s="7" t="s">
        <v>157</v>
      </c>
      <c r="E29" s="8" t="n">
        <v>0</v>
      </c>
      <c r="F29" s="6" t="s">
        <v>155</v>
      </c>
      <c r="G29" s="6" t="s">
        <v>158</v>
      </c>
      <c r="H29" s="9"/>
      <c r="I29" s="10" t="str">
        <f aca="false">IF(H29="","",E29*H29)</f>
        <v/>
      </c>
      <c r="J29" s="7" t="s">
        <v>37</v>
      </c>
      <c r="K29" s="7"/>
      <c r="L29" s="7" t="s">
        <v>37</v>
      </c>
      <c r="M29" s="7" t="s">
        <v>159</v>
      </c>
      <c r="N29" s="12"/>
      <c r="O29" s="12"/>
      <c r="P29" s="7" t="s">
        <v>160</v>
      </c>
      <c r="Q29" s="7" t="s">
        <v>161</v>
      </c>
      <c r="R29" s="7" t="s">
        <v>37</v>
      </c>
    </row>
    <row r="30" customFormat="false" ht="64.5" hidden="false" customHeight="true" outlineLevel="0" collapsed="false">
      <c r="A30" s="6" t="n">
        <v>23</v>
      </c>
      <c r="B30" s="7" t="s">
        <v>155</v>
      </c>
      <c r="C30" s="7" t="s">
        <v>162</v>
      </c>
      <c r="D30" s="7" t="s">
        <v>163</v>
      </c>
      <c r="E30" s="8" t="n">
        <v>1</v>
      </c>
      <c r="F30" s="6" t="s">
        <v>155</v>
      </c>
      <c r="G30" s="6" t="s">
        <v>93</v>
      </c>
      <c r="H30" s="9" t="n">
        <v>25</v>
      </c>
      <c r="I30" s="10" t="n">
        <f aca="false">IF(H30="","",E30*H30)</f>
        <v>25</v>
      </c>
      <c r="J30" s="7" t="s">
        <v>164</v>
      </c>
      <c r="K30" s="7"/>
      <c r="L30" s="7" t="s">
        <v>165</v>
      </c>
      <c r="M30" s="7" t="s">
        <v>166</v>
      </c>
      <c r="N30" s="12"/>
      <c r="O30" s="12"/>
      <c r="P30" s="7" t="s">
        <v>167</v>
      </c>
      <c r="Q30" s="7" t="s">
        <v>168</v>
      </c>
      <c r="R30" s="7" t="s">
        <v>169</v>
      </c>
    </row>
    <row r="31" customFormat="false" ht="64.5" hidden="false" customHeight="true" outlineLevel="0" collapsed="false">
      <c r="A31" s="6" t="n">
        <v>24</v>
      </c>
      <c r="B31" s="7" t="s">
        <v>155</v>
      </c>
      <c r="C31" s="7" t="s">
        <v>170</v>
      </c>
      <c r="D31" s="7" t="s">
        <v>171</v>
      </c>
      <c r="E31" s="8" t="n">
        <v>0</v>
      </c>
      <c r="F31" s="6" t="s">
        <v>155</v>
      </c>
      <c r="G31" s="6" t="s">
        <v>75</v>
      </c>
      <c r="H31" s="9" t="n">
        <v>10.7</v>
      </c>
      <c r="I31" s="10" t="n">
        <f aca="false">IF(H31="","",E31*H31)</f>
        <v>0</v>
      </c>
      <c r="J31" s="7" t="s">
        <v>27</v>
      </c>
      <c r="K31" s="11" t="s">
        <v>13</v>
      </c>
      <c r="L31" s="7" t="s">
        <v>172</v>
      </c>
      <c r="M31" s="7" t="s">
        <v>173</v>
      </c>
      <c r="N31" s="12"/>
      <c r="O31" s="12"/>
      <c r="P31" s="7" t="s">
        <v>174</v>
      </c>
      <c r="Q31" s="7" t="s">
        <v>175</v>
      </c>
      <c r="R31" s="7" t="s">
        <v>176</v>
      </c>
    </row>
    <row r="32" customFormat="false" ht="64.5" hidden="false" customHeight="true" outlineLevel="0" collapsed="false">
      <c r="A32" s="6" t="n">
        <v>25</v>
      </c>
      <c r="B32" s="7" t="s">
        <v>155</v>
      </c>
      <c r="C32" s="7" t="s">
        <v>177</v>
      </c>
      <c r="D32" s="7" t="s">
        <v>178</v>
      </c>
      <c r="E32" s="8" t="n">
        <v>1</v>
      </c>
      <c r="F32" s="6" t="s">
        <v>155</v>
      </c>
      <c r="G32" s="6" t="s">
        <v>26</v>
      </c>
      <c r="H32" s="9" t="n">
        <v>32.95</v>
      </c>
      <c r="I32" s="10" t="n">
        <f aca="false">IF(H32="","",E32*H32)</f>
        <v>32.95</v>
      </c>
      <c r="J32" s="7" t="s">
        <v>179</v>
      </c>
      <c r="K32" s="11" t="s">
        <v>13</v>
      </c>
      <c r="L32" s="7" t="s">
        <v>180</v>
      </c>
      <c r="M32" s="7" t="s">
        <v>181</v>
      </c>
      <c r="N32" s="12"/>
      <c r="O32" s="12"/>
      <c r="P32" s="7" t="s">
        <v>182</v>
      </c>
      <c r="Q32" s="7" t="s">
        <v>183</v>
      </c>
      <c r="R32" s="7" t="s">
        <v>184</v>
      </c>
    </row>
    <row r="33" customFormat="false" ht="78" hidden="false" customHeight="true" outlineLevel="0" collapsed="false">
      <c r="A33" s="6" t="n">
        <v>26</v>
      </c>
      <c r="B33" s="7" t="s">
        <v>155</v>
      </c>
      <c r="C33" s="7" t="s">
        <v>185</v>
      </c>
      <c r="D33" s="7" t="s">
        <v>186</v>
      </c>
      <c r="E33" s="8" t="n">
        <v>0</v>
      </c>
      <c r="F33" s="6" t="s">
        <v>155</v>
      </c>
      <c r="G33" s="6" t="s">
        <v>75</v>
      </c>
      <c r="H33" s="9" t="n">
        <v>5.24</v>
      </c>
      <c r="I33" s="10" t="n">
        <f aca="false">IF(H33="","",E33*H33)</f>
        <v>0</v>
      </c>
      <c r="J33" s="7" t="s">
        <v>187</v>
      </c>
      <c r="K33" s="11" t="s">
        <v>13</v>
      </c>
      <c r="L33" s="7" t="s">
        <v>188</v>
      </c>
      <c r="M33" s="7" t="s">
        <v>189</v>
      </c>
      <c r="N33" s="12"/>
      <c r="O33" s="12"/>
      <c r="P33" s="7" t="s">
        <v>190</v>
      </c>
      <c r="Q33" s="7" t="s">
        <v>191</v>
      </c>
      <c r="R33" s="7" t="s">
        <v>192</v>
      </c>
    </row>
    <row r="34" customFormat="false" ht="45" hidden="false" customHeight="true" outlineLevel="0" collapsed="false">
      <c r="A34" s="6" t="n">
        <v>27</v>
      </c>
      <c r="B34" s="7" t="s">
        <v>155</v>
      </c>
      <c r="C34" s="7" t="s">
        <v>193</v>
      </c>
      <c r="D34" s="7" t="s">
        <v>194</v>
      </c>
      <c r="E34" s="8" t="n">
        <v>1</v>
      </c>
      <c r="F34" s="6" t="s">
        <v>155</v>
      </c>
      <c r="G34" s="6" t="s">
        <v>93</v>
      </c>
      <c r="H34" s="9" t="n">
        <v>15</v>
      </c>
      <c r="I34" s="10" t="n">
        <f aca="false">IF(H34="","",E34*H34)</f>
        <v>15</v>
      </c>
      <c r="J34" s="7" t="s">
        <v>195</v>
      </c>
      <c r="K34" s="7"/>
      <c r="L34" s="7" t="s">
        <v>172</v>
      </c>
      <c r="M34" s="7" t="s">
        <v>196</v>
      </c>
      <c r="N34" s="12"/>
      <c r="O34" s="12"/>
      <c r="P34" s="7" t="s">
        <v>197</v>
      </c>
      <c r="Q34" s="7" t="s">
        <v>198</v>
      </c>
      <c r="R34" s="7" t="s">
        <v>199</v>
      </c>
    </row>
    <row r="35" customFormat="false" ht="19.5" hidden="false" customHeight="true" outlineLevel="0" collapsed="false">
      <c r="A35" s="23"/>
      <c r="B35" s="23"/>
      <c r="C35" s="24" t="s">
        <v>200</v>
      </c>
      <c r="D35" s="23"/>
      <c r="E35" s="23"/>
      <c r="F35" s="23"/>
      <c r="G35" s="23"/>
      <c r="H35" s="23"/>
      <c r="I35" s="25" t="n">
        <f aca="false">SUMIFS($I$5:$I$34,$F$5:$F$34,"PCB")</f>
        <v>72.95</v>
      </c>
      <c r="J35" s="23"/>
      <c r="K35" s="23"/>
      <c r="L35" s="23"/>
      <c r="M35" s="23"/>
      <c r="N35" s="23"/>
      <c r="O35" s="23"/>
      <c r="P35" s="23"/>
      <c r="Q35" s="23"/>
      <c r="R35" s="23"/>
    </row>
    <row r="36" customFormat="false" ht="19.5" hidden="false" customHeight="true" outlineLevel="0" collapsed="false">
      <c r="A36" s="5" t="s">
        <v>201</v>
      </c>
      <c r="B36" s="5"/>
      <c r="C36" s="5"/>
      <c r="D36" s="5"/>
      <c r="E36" s="5"/>
      <c r="F36" s="5"/>
      <c r="G36" s="5"/>
      <c r="H36" s="5"/>
      <c r="I36" s="5"/>
      <c r="J36" s="5"/>
      <c r="K36" s="5"/>
      <c r="L36" s="5"/>
      <c r="M36" s="5"/>
      <c r="N36" s="5"/>
      <c r="O36" s="5"/>
      <c r="P36" s="5"/>
      <c r="Q36" s="5"/>
      <c r="R36" s="5"/>
    </row>
    <row r="37" customFormat="false" ht="51.75" hidden="false" customHeight="true" outlineLevel="0" collapsed="false">
      <c r="A37" s="6" t="n">
        <v>28</v>
      </c>
      <c r="B37" s="7" t="s">
        <v>65</v>
      </c>
      <c r="C37" s="7" t="s">
        <v>202</v>
      </c>
      <c r="D37" s="7" t="s">
        <v>203</v>
      </c>
      <c r="E37" s="8" t="n">
        <v>1</v>
      </c>
      <c r="F37" s="6" t="s">
        <v>204</v>
      </c>
      <c r="G37" s="6" t="s">
        <v>26</v>
      </c>
      <c r="H37" s="9" t="n">
        <v>175</v>
      </c>
      <c r="I37" s="10" t="n">
        <f aca="false">IF(H37="","",E37*H37)</f>
        <v>175</v>
      </c>
      <c r="J37" s="7" t="s">
        <v>205</v>
      </c>
      <c r="K37" s="11" t="s">
        <v>13</v>
      </c>
      <c r="L37" s="7" t="s">
        <v>206</v>
      </c>
      <c r="M37" s="7" t="s">
        <v>207</v>
      </c>
      <c r="N37" s="12"/>
      <c r="O37" s="12"/>
      <c r="P37" s="7" t="s">
        <v>208</v>
      </c>
      <c r="Q37" s="7" t="s">
        <v>209</v>
      </c>
      <c r="R37" s="7" t="s">
        <v>210</v>
      </c>
    </row>
    <row r="38" customFormat="false" ht="45" hidden="false" customHeight="true" outlineLevel="0" collapsed="false">
      <c r="A38" s="6" t="n">
        <v>29</v>
      </c>
      <c r="B38" s="7" t="s">
        <v>65</v>
      </c>
      <c r="C38" s="7" t="s">
        <v>211</v>
      </c>
      <c r="D38" s="7" t="s">
        <v>212</v>
      </c>
      <c r="E38" s="8" t="n">
        <v>1</v>
      </c>
      <c r="F38" s="6" t="s">
        <v>204</v>
      </c>
      <c r="G38" s="6" t="s">
        <v>75</v>
      </c>
      <c r="H38" s="9" t="n">
        <v>12.34</v>
      </c>
      <c r="I38" s="10" t="n">
        <f aca="false">IF(H38="","",E38*H38)</f>
        <v>12.34</v>
      </c>
      <c r="J38" s="7" t="s">
        <v>45</v>
      </c>
      <c r="K38" s="11" t="s">
        <v>13</v>
      </c>
      <c r="L38" s="7" t="s">
        <v>76</v>
      </c>
      <c r="M38" s="7" t="s">
        <v>213</v>
      </c>
      <c r="N38" s="12"/>
      <c r="O38" s="12"/>
      <c r="P38" s="7" t="s">
        <v>214</v>
      </c>
      <c r="Q38" s="7" t="s">
        <v>209</v>
      </c>
      <c r="R38" s="7" t="s">
        <v>215</v>
      </c>
    </row>
    <row r="39" customFormat="false" ht="45" hidden="false" customHeight="true" outlineLevel="0" collapsed="false">
      <c r="A39" s="6" t="n">
        <v>30</v>
      </c>
      <c r="B39" s="7" t="s">
        <v>65</v>
      </c>
      <c r="C39" s="7" t="s">
        <v>216</v>
      </c>
      <c r="D39" s="7" t="s">
        <v>217</v>
      </c>
      <c r="E39" s="8" t="n">
        <v>1</v>
      </c>
      <c r="F39" s="6" t="s">
        <v>204</v>
      </c>
      <c r="G39" s="6" t="s">
        <v>26</v>
      </c>
      <c r="H39" s="9" t="n">
        <v>11.95</v>
      </c>
      <c r="I39" s="10" t="n">
        <f aca="false">IF(H39="","",E39*H39)</f>
        <v>11.95</v>
      </c>
      <c r="J39" s="7" t="s">
        <v>205</v>
      </c>
      <c r="K39" s="11" t="s">
        <v>13</v>
      </c>
      <c r="L39" s="7" t="s">
        <v>218</v>
      </c>
      <c r="M39" s="7" t="s">
        <v>219</v>
      </c>
      <c r="N39" s="12"/>
      <c r="O39" s="12"/>
      <c r="P39" s="7" t="s">
        <v>220</v>
      </c>
      <c r="Q39" s="7" t="s">
        <v>209</v>
      </c>
      <c r="R39" s="7" t="s">
        <v>215</v>
      </c>
    </row>
    <row r="40" customFormat="false" ht="129.75" hidden="false" customHeight="true" outlineLevel="0" collapsed="false">
      <c r="A40" s="6" t="n">
        <v>31</v>
      </c>
      <c r="B40" s="7" t="s">
        <v>65</v>
      </c>
      <c r="C40" s="7" t="s">
        <v>221</v>
      </c>
      <c r="D40" s="7" t="s">
        <v>222</v>
      </c>
      <c r="E40" s="8" t="n">
        <v>0</v>
      </c>
      <c r="F40" s="6" t="s">
        <v>204</v>
      </c>
      <c r="G40" s="6" t="s">
        <v>75</v>
      </c>
      <c r="H40" s="9" t="n">
        <v>135</v>
      </c>
      <c r="I40" s="10" t="n">
        <f aca="false">IF(H40="","",E40*H40)</f>
        <v>0</v>
      </c>
      <c r="J40" s="7" t="s">
        <v>45</v>
      </c>
      <c r="K40" s="11" t="s">
        <v>13</v>
      </c>
      <c r="L40" s="7" t="s">
        <v>223</v>
      </c>
      <c r="M40" s="7" t="s">
        <v>224</v>
      </c>
      <c r="N40" s="12"/>
      <c r="O40" s="12"/>
      <c r="P40" s="7" t="s">
        <v>225</v>
      </c>
      <c r="Q40" s="7" t="s">
        <v>226</v>
      </c>
      <c r="R40" s="7" t="s">
        <v>227</v>
      </c>
    </row>
    <row r="41" customFormat="false" ht="45" hidden="false" customHeight="true" outlineLevel="0" collapsed="false">
      <c r="A41" s="6" t="n">
        <v>32</v>
      </c>
      <c r="B41" s="7" t="s">
        <v>65</v>
      </c>
      <c r="C41" s="7" t="s">
        <v>228</v>
      </c>
      <c r="D41" s="7" t="s">
        <v>229</v>
      </c>
      <c r="E41" s="8" t="n">
        <v>1</v>
      </c>
      <c r="F41" s="6" t="s">
        <v>204</v>
      </c>
      <c r="G41" s="6" t="s">
        <v>158</v>
      </c>
      <c r="H41" s="9"/>
      <c r="I41" s="10" t="str">
        <f aca="false">IF(H41="","",E41*H41)</f>
        <v/>
      </c>
      <c r="J41" s="7" t="s">
        <v>230</v>
      </c>
      <c r="K41" s="7"/>
      <c r="L41" s="7"/>
      <c r="M41" s="7" t="s">
        <v>231</v>
      </c>
      <c r="N41" s="12"/>
      <c r="O41" s="12"/>
      <c r="P41" s="7" t="s">
        <v>232</v>
      </c>
      <c r="Q41" s="7" t="s">
        <v>209</v>
      </c>
      <c r="R41" s="7" t="s">
        <v>233</v>
      </c>
    </row>
    <row r="42" customFormat="false" ht="19.5" hidden="false" customHeight="true" outlineLevel="0" collapsed="false">
      <c r="A42" s="23"/>
      <c r="B42" s="23"/>
      <c r="C42" s="24" t="s">
        <v>234</v>
      </c>
      <c r="D42" s="23"/>
      <c r="E42" s="23"/>
      <c r="F42" s="23"/>
      <c r="G42" s="23"/>
      <c r="H42" s="23"/>
      <c r="I42" s="25" t="n">
        <f aca="false">SUMIFS($I$5:$I$41,$F$5:$F$41,"P2")</f>
        <v>199.29</v>
      </c>
      <c r="J42" s="23"/>
      <c r="K42" s="23"/>
      <c r="L42" s="23"/>
      <c r="M42" s="23"/>
      <c r="N42" s="23"/>
      <c r="O42" s="23"/>
      <c r="P42" s="23"/>
      <c r="Q42" s="23"/>
      <c r="R42" s="23"/>
    </row>
    <row r="43" customFormat="false" ht="19.5" hidden="false" customHeight="true" outlineLevel="0" collapsed="false">
      <c r="A43" s="5" t="s">
        <v>235</v>
      </c>
      <c r="B43" s="5"/>
      <c r="C43" s="5"/>
      <c r="D43" s="5"/>
      <c r="E43" s="5"/>
      <c r="F43" s="5"/>
      <c r="G43" s="5"/>
      <c r="H43" s="5"/>
      <c r="I43" s="5"/>
      <c r="J43" s="5"/>
      <c r="K43" s="5"/>
      <c r="L43" s="5"/>
      <c r="M43" s="5"/>
      <c r="N43" s="5"/>
      <c r="O43" s="5"/>
      <c r="P43" s="5"/>
      <c r="Q43" s="5"/>
      <c r="R43" s="5"/>
    </row>
    <row r="44" customFormat="false" ht="45" hidden="false" customHeight="true" outlineLevel="0" collapsed="false">
      <c r="A44" s="6" t="n">
        <v>33</v>
      </c>
      <c r="B44" s="7" t="s">
        <v>72</v>
      </c>
      <c r="C44" s="7" t="s">
        <v>236</v>
      </c>
      <c r="D44" s="7" t="s">
        <v>237</v>
      </c>
      <c r="E44" s="8" t="n">
        <v>0</v>
      </c>
      <c r="F44" s="6" t="s">
        <v>238</v>
      </c>
      <c r="G44" s="6" t="s">
        <v>75</v>
      </c>
      <c r="H44" s="9" t="n">
        <v>6.99</v>
      </c>
      <c r="I44" s="10" t="n">
        <f aca="false">IF(H44="","",E44*H44)</f>
        <v>0</v>
      </c>
      <c r="J44" s="7" t="s">
        <v>239</v>
      </c>
      <c r="K44" s="11" t="s">
        <v>13</v>
      </c>
      <c r="L44" s="7" t="s">
        <v>240</v>
      </c>
      <c r="M44" s="7" t="s">
        <v>241</v>
      </c>
      <c r="N44" s="12"/>
      <c r="O44" s="12"/>
      <c r="P44" s="7" t="s">
        <v>242</v>
      </c>
      <c r="Q44" s="7" t="s">
        <v>243</v>
      </c>
      <c r="R44" s="7" t="s">
        <v>244</v>
      </c>
    </row>
    <row r="45" customFormat="false" ht="45" hidden="false" customHeight="true" outlineLevel="0" collapsed="false">
      <c r="A45" s="6" t="n">
        <v>34</v>
      </c>
      <c r="B45" s="7" t="s">
        <v>72</v>
      </c>
      <c r="C45" s="7" t="s">
        <v>245</v>
      </c>
      <c r="D45" s="7" t="s">
        <v>246</v>
      </c>
      <c r="E45" s="8" t="n">
        <v>0</v>
      </c>
      <c r="F45" s="6" t="s">
        <v>238</v>
      </c>
      <c r="G45" s="6" t="s">
        <v>26</v>
      </c>
      <c r="H45" s="9" t="n">
        <v>8.95</v>
      </c>
      <c r="I45" s="10" t="n">
        <f aca="false">IF(H45="","",E45*H45)</f>
        <v>0</v>
      </c>
      <c r="J45" s="7" t="s">
        <v>179</v>
      </c>
      <c r="K45" s="11" t="s">
        <v>13</v>
      </c>
      <c r="L45" s="7" t="s">
        <v>247</v>
      </c>
      <c r="M45" s="7" t="s">
        <v>248</v>
      </c>
      <c r="N45" s="12"/>
      <c r="O45" s="12"/>
      <c r="P45" s="7" t="s">
        <v>249</v>
      </c>
      <c r="Q45" s="7" t="s">
        <v>243</v>
      </c>
      <c r="R45" s="7" t="s">
        <v>244</v>
      </c>
    </row>
    <row r="46" customFormat="false" ht="45" hidden="false" customHeight="true" outlineLevel="0" collapsed="false">
      <c r="A46" s="6" t="n">
        <v>35</v>
      </c>
      <c r="B46" s="7" t="s">
        <v>72</v>
      </c>
      <c r="C46" s="7" t="s">
        <v>250</v>
      </c>
      <c r="D46" s="7" t="s">
        <v>251</v>
      </c>
      <c r="E46" s="8" t="n">
        <v>0</v>
      </c>
      <c r="F46" s="6" t="s">
        <v>238</v>
      </c>
      <c r="G46" s="6" t="s">
        <v>158</v>
      </c>
      <c r="H46" s="9" t="n">
        <v>42</v>
      </c>
      <c r="I46" s="10" t="n">
        <f aca="false">IF(H46="","",E46*H46)</f>
        <v>0</v>
      </c>
      <c r="J46" s="7" t="s">
        <v>252</v>
      </c>
      <c r="K46" s="7"/>
      <c r="L46" s="7"/>
      <c r="M46" s="7" t="s">
        <v>253</v>
      </c>
      <c r="N46" s="12"/>
      <c r="O46" s="12"/>
      <c r="P46" s="7" t="s">
        <v>254</v>
      </c>
      <c r="Q46" s="7" t="s">
        <v>243</v>
      </c>
      <c r="R46" s="7" t="s">
        <v>255</v>
      </c>
    </row>
    <row r="47" customFormat="false" ht="45" hidden="false" customHeight="true" outlineLevel="0" collapsed="false">
      <c r="A47" s="6" t="n">
        <v>36</v>
      </c>
      <c r="B47" s="7" t="s">
        <v>42</v>
      </c>
      <c r="C47" s="7" t="s">
        <v>256</v>
      </c>
      <c r="D47" s="7" t="s">
        <v>257</v>
      </c>
      <c r="E47" s="8" t="n">
        <v>0</v>
      </c>
      <c r="F47" s="6" t="s">
        <v>258</v>
      </c>
      <c r="G47" s="6" t="s">
        <v>26</v>
      </c>
      <c r="H47" s="9" t="n">
        <v>14.99</v>
      </c>
      <c r="I47" s="10" t="n">
        <f aca="false">IF(H47="","",E47*H47)</f>
        <v>0</v>
      </c>
      <c r="J47" s="7" t="s">
        <v>45</v>
      </c>
      <c r="K47" s="11" t="s">
        <v>13</v>
      </c>
      <c r="L47" s="7" t="s">
        <v>259</v>
      </c>
      <c r="M47" s="7" t="s">
        <v>260</v>
      </c>
      <c r="N47" s="12"/>
      <c r="O47" s="12"/>
      <c r="P47" s="7" t="s">
        <v>261</v>
      </c>
      <c r="Q47" s="7" t="s">
        <v>37</v>
      </c>
      <c r="R47" s="7" t="s">
        <v>37</v>
      </c>
    </row>
    <row r="48" customFormat="false" ht="64.5" hidden="false" customHeight="true" outlineLevel="0" collapsed="false">
      <c r="A48" s="6" t="n">
        <v>37</v>
      </c>
      <c r="B48" s="7" t="s">
        <v>42</v>
      </c>
      <c r="C48" s="7" t="s">
        <v>262</v>
      </c>
      <c r="D48" s="7" t="s">
        <v>263</v>
      </c>
      <c r="E48" s="8" t="n">
        <v>0</v>
      </c>
      <c r="F48" s="6" t="s">
        <v>258</v>
      </c>
      <c r="G48" s="6" t="s">
        <v>75</v>
      </c>
      <c r="H48" s="9" t="n">
        <v>9.99</v>
      </c>
      <c r="I48" s="10" t="n">
        <f aca="false">IF(H48="","",E48*H48)</f>
        <v>0</v>
      </c>
      <c r="J48" s="7" t="s">
        <v>45</v>
      </c>
      <c r="K48" s="11" t="s">
        <v>13</v>
      </c>
      <c r="L48" s="7" t="s">
        <v>264</v>
      </c>
      <c r="M48" s="7" t="s">
        <v>260</v>
      </c>
      <c r="N48" s="12"/>
      <c r="O48" s="12"/>
      <c r="P48" s="7" t="s">
        <v>265</v>
      </c>
      <c r="Q48" s="7" t="s">
        <v>37</v>
      </c>
      <c r="R48" s="7" t="s">
        <v>37</v>
      </c>
    </row>
    <row r="49" customFormat="false" ht="19.5" hidden="false" customHeight="true" outlineLevel="0" collapsed="false">
      <c r="A49" s="5" t="s">
        <v>266</v>
      </c>
      <c r="B49" s="5"/>
      <c r="C49" s="5"/>
      <c r="D49" s="5"/>
      <c r="E49" s="5"/>
      <c r="F49" s="5"/>
      <c r="G49" s="5"/>
      <c r="H49" s="5"/>
      <c r="I49" s="5"/>
      <c r="J49" s="5"/>
      <c r="K49" s="5"/>
      <c r="L49" s="5"/>
      <c r="M49" s="5"/>
      <c r="N49" s="5"/>
      <c r="O49" s="5"/>
      <c r="P49" s="5"/>
      <c r="Q49" s="5"/>
      <c r="R49" s="5"/>
    </row>
    <row r="50" customFormat="false" ht="45" hidden="false" customHeight="true" outlineLevel="0" collapsed="false">
      <c r="A50" s="6" t="n">
        <v>38</v>
      </c>
      <c r="B50" s="7" t="s">
        <v>267</v>
      </c>
      <c r="C50" s="7" t="s">
        <v>268</v>
      </c>
      <c r="D50" s="7" t="s">
        <v>269</v>
      </c>
      <c r="E50" s="8" t="n">
        <v>1</v>
      </c>
      <c r="F50" s="6" t="s">
        <v>270</v>
      </c>
      <c r="G50" s="6" t="s">
        <v>93</v>
      </c>
      <c r="H50" s="9" t="n">
        <v>50</v>
      </c>
      <c r="I50" s="10" t="n">
        <f aca="false">IF(H50="","",E50*H50)</f>
        <v>50</v>
      </c>
      <c r="J50" s="7" t="s">
        <v>37</v>
      </c>
      <c r="K50" s="7"/>
      <c r="L50" s="7" t="s">
        <v>37</v>
      </c>
      <c r="M50" s="7" t="s">
        <v>271</v>
      </c>
      <c r="N50" s="12"/>
      <c r="O50" s="12"/>
      <c r="P50" s="7" t="s">
        <v>272</v>
      </c>
      <c r="Q50" s="7" t="s">
        <v>37</v>
      </c>
      <c r="R50" s="7" t="s">
        <v>37</v>
      </c>
    </row>
    <row r="51" customFormat="false" ht="45" hidden="false" customHeight="true" outlineLevel="0" collapsed="false">
      <c r="A51" s="6" t="n">
        <v>39</v>
      </c>
      <c r="B51" s="7" t="s">
        <v>267</v>
      </c>
      <c r="C51" s="7" t="s">
        <v>273</v>
      </c>
      <c r="D51" s="7" t="s">
        <v>274</v>
      </c>
      <c r="E51" s="8" t="n">
        <v>1</v>
      </c>
      <c r="F51" s="6" t="s">
        <v>270</v>
      </c>
      <c r="G51" s="6" t="s">
        <v>93</v>
      </c>
      <c r="H51" s="9" t="n">
        <v>30</v>
      </c>
      <c r="I51" s="10" t="n">
        <f aca="false">IF(H51="","",E51*H51)</f>
        <v>30</v>
      </c>
      <c r="J51" s="7" t="s">
        <v>37</v>
      </c>
      <c r="K51" s="7"/>
      <c r="L51" s="7" t="s">
        <v>37</v>
      </c>
      <c r="M51" s="7" t="s">
        <v>275</v>
      </c>
      <c r="N51" s="12"/>
      <c r="O51" s="12"/>
      <c r="P51" s="7" t="s">
        <v>276</v>
      </c>
      <c r="Q51" s="7" t="s">
        <v>37</v>
      </c>
      <c r="R51" s="7" t="s">
        <v>37</v>
      </c>
    </row>
    <row r="52" customFormat="false" ht="19.5" hidden="false" customHeight="true" outlineLevel="0" collapsed="false">
      <c r="A52" s="23"/>
      <c r="B52" s="23"/>
      <c r="C52" s="24" t="s">
        <v>277</v>
      </c>
      <c r="D52" s="23"/>
      <c r="E52" s="23"/>
      <c r="F52" s="23"/>
      <c r="G52" s="23"/>
      <c r="H52" s="23"/>
      <c r="I52" s="25" t="n">
        <f aca="false">SUMIFS($I$5:$I$51,$F$5:$F$51,"SHIP")</f>
        <v>80</v>
      </c>
      <c r="J52" s="23"/>
      <c r="K52" s="23"/>
      <c r="L52" s="23"/>
      <c r="M52" s="23"/>
      <c r="N52" s="23"/>
      <c r="O52" s="23"/>
      <c r="P52" s="23"/>
      <c r="Q52" s="23"/>
      <c r="R52" s="23"/>
    </row>
    <row r="53" customFormat="false" ht="24" hidden="false" customHeight="true" outlineLevel="0" collapsed="false">
      <c r="A53" s="26"/>
      <c r="B53" s="26"/>
      <c r="C53" s="27" t="s">
        <v>278</v>
      </c>
      <c r="D53" s="26"/>
      <c r="E53" s="26"/>
      <c r="F53" s="26"/>
      <c r="G53" s="26"/>
      <c r="H53" s="26"/>
      <c r="I53" s="28" t="n">
        <f aca="false">I27+I35+I42+I52</f>
        <v>506.94</v>
      </c>
      <c r="J53" s="26"/>
      <c r="K53" s="26"/>
      <c r="L53" s="26"/>
      <c r="M53" s="26"/>
      <c r="N53" s="26"/>
      <c r="O53" s="26"/>
      <c r="P53" s="26"/>
      <c r="Q53" s="26"/>
      <c r="R53" s="26"/>
    </row>
  </sheetData>
  <mergeCells count="5">
    <mergeCell ref="A5:R5"/>
    <mergeCell ref="A28:R28"/>
    <mergeCell ref="A36:R36"/>
    <mergeCell ref="A43:R43"/>
    <mergeCell ref="A49:R49"/>
  </mergeCells>
  <hyperlinks>
    <hyperlink ref="K6" r:id="rId1" display="Link"/>
    <hyperlink ref="K8" r:id="rId2" display="Link"/>
    <hyperlink ref="K9" r:id="rId3" display="Link"/>
    <hyperlink ref="K11" r:id="rId4" display="Link"/>
    <hyperlink ref="K12" r:id="rId5" display="Link"/>
    <hyperlink ref="K15" r:id="rId6" display="Link"/>
    <hyperlink ref="K16" r:id="rId7" display="Link"/>
    <hyperlink ref="K17" r:id="rId8" display="Link"/>
    <hyperlink ref="K31" r:id="rId9" display="Link"/>
    <hyperlink ref="K32" r:id="rId10" display="Link"/>
    <hyperlink ref="K33" r:id="rId11" display="Link"/>
    <hyperlink ref="K37" r:id="rId12" display="Link"/>
    <hyperlink ref="K38" r:id="rId13" display="Link"/>
    <hyperlink ref="K39" r:id="rId14" display="Link"/>
    <hyperlink ref="K40" r:id="rId15" display="Link"/>
    <hyperlink ref="K44" r:id="rId16" display="Link"/>
    <hyperlink ref="K45" r:id="rId17" display="Link"/>
    <hyperlink ref="K47" r:id="rId18" display="Link"/>
    <hyperlink ref="K48" r:id="rId19"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279</v>
      </c>
    </row>
    <row r="3" customFormat="false" ht="15" hidden="false" customHeight="false" outlineLevel="0" collapsed="false">
      <c r="A3" s="0" t="s">
        <v>280</v>
      </c>
      <c r="B3" s="29" t="n">
        <v>380</v>
      </c>
      <c r="C3" s="30" t="s">
        <v>281</v>
      </c>
    </row>
    <row r="5" customFormat="false" ht="15" hidden="false" customHeight="false" outlineLevel="0" collapsed="false">
      <c r="A5" s="31" t="s">
        <v>282</v>
      </c>
      <c r="B5" s="32" t="n">
        <f aca="false">SUMIFS(BOM!$I$5:$I$53,BOM!$F$5:$F$53,"P1")</f>
        <v>154.7</v>
      </c>
      <c r="C5" s="31" t="s">
        <v>283</v>
      </c>
    </row>
    <row r="6" customFormat="false" ht="15" hidden="false" customHeight="false" outlineLevel="0" collapsed="false">
      <c r="A6" s="31" t="s">
        <v>284</v>
      </c>
      <c r="B6" s="32" t="n">
        <f aca="false">SUMIFS(BOM!$I$5:$I$53,BOM!$F$5:$F$53,"PCB")</f>
        <v>72.95</v>
      </c>
      <c r="C6" s="31" t="s">
        <v>285</v>
      </c>
    </row>
    <row r="7" customFormat="false" ht="15" hidden="false" customHeight="false" outlineLevel="0" collapsed="false">
      <c r="A7" s="31" t="s">
        <v>286</v>
      </c>
      <c r="B7" s="32" t="n">
        <f aca="false">SUMIFS(BOM!$I$5:$I$53,BOM!$F$5:$F$53,"P2")</f>
        <v>199.29</v>
      </c>
      <c r="C7" s="31" t="s">
        <v>287</v>
      </c>
    </row>
    <row r="8" customFormat="false" ht="15" hidden="false" customHeight="false" outlineLevel="0" collapsed="false">
      <c r="A8" s="31" t="s">
        <v>288</v>
      </c>
      <c r="B8" s="32" t="n">
        <f aca="false">SUMIFS(BOM!$I$5:$I$53,BOM!$F$5:$F$53,"SHIP")</f>
        <v>80</v>
      </c>
      <c r="C8" s="31" t="s">
        <v>289</v>
      </c>
    </row>
    <row r="9" customFormat="false" ht="15" hidden="false" customHeight="false" outlineLevel="0" collapsed="false">
      <c r="A9" s="31" t="s">
        <v>290</v>
      </c>
      <c r="B9" s="32" t="n">
        <f aca="false">SUMIFS(BOM!$I$5:$I$53,BOM!$F$5:$F$53,"P3")</f>
        <v>0</v>
      </c>
      <c r="C9" s="31" t="s">
        <v>291</v>
      </c>
    </row>
    <row r="10" customFormat="false" ht="15" hidden="false" customHeight="false" outlineLevel="0" collapsed="false">
      <c r="A10" s="33" t="s">
        <v>292</v>
      </c>
      <c r="B10" s="34" t="n">
        <f aca="false">SUM(B5:B9)</f>
        <v>506.94</v>
      </c>
    </row>
    <row r="11" customFormat="false" ht="15" hidden="false" customHeight="false" outlineLevel="0" collapsed="false">
      <c r="A11" s="33" t="s">
        <v>293</v>
      </c>
      <c r="B11" s="35" t="n">
        <f aca="false">B3-B10</f>
        <v>-126.94</v>
      </c>
      <c r="C11" s="30" t="s">
        <v>294</v>
      </c>
    </row>
    <row r="13" customFormat="false" ht="15" hidden="false" customHeight="false" outlineLevel="0" collapsed="false">
      <c r="A13" s="31" t="s">
        <v>295</v>
      </c>
      <c r="B13" s="32" t="n">
        <f aca="false">SUMIFS(BOM!$H$5:$H$53,BOM!$F$5:$F$53,"P3")</f>
        <v>57.94</v>
      </c>
      <c r="C13" s="30" t="s">
        <v>296</v>
      </c>
    </row>
    <row r="14" customFormat="false" ht="15" hidden="false" customHeight="false" outlineLevel="0" collapsed="false">
      <c r="A14" s="31" t="s">
        <v>221</v>
      </c>
      <c r="B14" s="32" t="n">
        <f aca="false">SUMIFS(BOM!$H$5:$H$53,BOM!$C$5:$C$53,"*Coral*")</f>
        <v>135</v>
      </c>
      <c r="C14" s="30" t="s">
        <v>297</v>
      </c>
    </row>
    <row r="16" customFormat="false" ht="15" hidden="false" customHeight="false" outlineLevel="0" collapsed="false">
      <c r="A16" s="33" t="s">
        <v>298</v>
      </c>
      <c r="B16" s="34" t="n">
        <f aca="false">B10</f>
        <v>506.94</v>
      </c>
      <c r="C16" s="30" t="s">
        <v>299</v>
      </c>
    </row>
    <row r="17" customFormat="false" ht="15" hidden="false" customHeight="false" outlineLevel="0" collapsed="false">
      <c r="A17" s="33" t="s">
        <v>300</v>
      </c>
      <c r="B17" s="34" t="n">
        <f aca="false">B10+B13+B14</f>
        <v>699.88</v>
      </c>
      <c r="C17" s="30" t="s">
        <v>301</v>
      </c>
    </row>
    <row r="19" customFormat="false" ht="15" hidden="false" customHeight="false" outlineLevel="0" collapsed="false">
      <c r="A19" s="31" t="s">
        <v>302</v>
      </c>
      <c r="B19" s="31" t="n">
        <f aca="false">COUNTIFS(BOM!$E$5:$E$53,"&gt;0",BOM!$G$5:$G$53,"Estimate")+COUNTIFS(BOM!$E$5:$E$53,"&gt;0",BOM!$H$5:$H$53,"")</f>
        <v>8</v>
      </c>
      <c r="C19" s="30" t="s">
        <v>303</v>
      </c>
    </row>
    <row r="20" customFormat="false" ht="15" hidden="false" customHeight="false" outlineLevel="0" collapsed="false">
      <c r="A20" s="31" t="s">
        <v>304</v>
      </c>
      <c r="B20" s="31" t="n">
        <f aca="false">COUNTIFS(BOM!$E$5:$E$53,"&gt;0",BOM!$G$5:$G$53,"Verified")</f>
        <v>7</v>
      </c>
      <c r="C20" s="30" t="s">
        <v>305</v>
      </c>
    </row>
    <row r="22" customFormat="false" ht="15" hidden="false" customHeight="false" outlineLevel="0" collapsed="false">
      <c r="A22" s="33" t="s">
        <v>306</v>
      </c>
    </row>
    <row r="23" customFormat="false" ht="15" hidden="false" customHeight="false" outlineLevel="0" collapsed="false">
      <c r="A23" s="31" t="s">
        <v>307</v>
      </c>
    </row>
    <row r="24" customFormat="false" ht="15" hidden="false" customHeight="false" outlineLevel="0" collapsed="false">
      <c r="A24" s="31" t="s">
        <v>308</v>
      </c>
    </row>
    <row r="25" customFormat="false" ht="15" hidden="false" customHeight="false" outlineLevel="0" collapsed="false">
      <c r="A25" s="31" t="s">
        <v>309</v>
      </c>
    </row>
    <row r="26" customFormat="false" ht="15" hidden="false" customHeight="false" outlineLevel="0" collapsed="false">
      <c r="A26" s="31" t="s">
        <v>310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0"/>
  </cols>
  <sheetData>
    <row r="1" customFormat="false" ht="15" hidden="false" customHeight="false" outlineLevel="0" collapsed="false">
      <c r="A1" s="33" t="s">
        <v>9</v>
      </c>
      <c r="B1" s="31"/>
    </row>
    <row r="2" customFormat="false" ht="15" hidden="false" customHeight="false" outlineLevel="0" collapsed="false">
      <c r="A2" s="33" t="s">
        <v>26</v>
      </c>
      <c r="B2" s="31" t="s">
        <v>311</v>
      </c>
    </row>
    <row r="3" customFormat="false" ht="15" hidden="false" customHeight="false" outlineLevel="0" collapsed="false">
      <c r="A3" s="33" t="s">
        <v>75</v>
      </c>
      <c r="B3" s="31" t="s">
        <v>312</v>
      </c>
    </row>
    <row r="4" customFormat="false" ht="15" hidden="false" customHeight="false" outlineLevel="0" collapsed="false">
      <c r="A4" s="33" t="s">
        <v>93</v>
      </c>
      <c r="B4" s="31" t="s">
        <v>313</v>
      </c>
    </row>
    <row r="5" customFormat="false" ht="15" hidden="false" customHeight="false" outlineLevel="0" collapsed="false">
      <c r="A5" s="33" t="s">
        <v>314</v>
      </c>
      <c r="B5" s="31" t="s">
        <v>315</v>
      </c>
    </row>
    <row r="6" customFormat="false" ht="15" hidden="false" customHeight="false" outlineLevel="0" collapsed="false">
      <c r="A6" s="33" t="s">
        <v>316</v>
      </c>
      <c r="B6" s="31" t="s">
        <v>317</v>
      </c>
    </row>
    <row r="7" customFormat="false" ht="15" hidden="false" customHeight="false" outlineLevel="0" collapsed="false">
      <c r="A7" s="33" t="s">
        <v>318</v>
      </c>
      <c r="B7" s="31" t="s">
        <v>319</v>
      </c>
    </row>
    <row r="8" customFormat="false" ht="15" hidden="false" customHeight="false" outlineLevel="0" collapsed="false">
      <c r="A8" s="33" t="s">
        <v>320</v>
      </c>
      <c r="B8" s="31" t="s">
        <v>321</v>
      </c>
    </row>
    <row r="9" customFormat="false" ht="15" hidden="false" customHeight="false" outlineLevel="0" collapsed="false">
      <c r="A9" s="33" t="s">
        <v>322</v>
      </c>
      <c r="B9" s="31" t="s">
        <v>323</v>
      </c>
    </row>
    <row r="10" customFormat="false" ht="15" hidden="false" customHeight="false" outlineLevel="0" collapsed="false">
      <c r="A10" s="33" t="s">
        <v>324</v>
      </c>
      <c r="B10" s="31" t="s">
        <v>325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6"/>
    <col collapsed="false" customWidth="true" hidden="false" outlineLevel="0" max="5" min="4" style="0" width="12"/>
    <col collapsed="false" customWidth="true" hidden="false" outlineLevel="0" max="6" min="6" style="0" width="22"/>
    <col collapsed="false" customWidth="true" hidden="false" outlineLevel="0" max="7" min="7" style="0" width="10"/>
    <col collapsed="false" customWidth="true" hidden="false" outlineLevel="0" max="8" min="8" style="0" width="70"/>
  </cols>
  <sheetData>
    <row r="1" customFormat="false" ht="17.35" hidden="false" customHeight="false" outlineLevel="0" collapsed="false">
      <c r="A1" s="1" t="s">
        <v>326</v>
      </c>
    </row>
    <row r="2" customFormat="false" ht="15" hidden="false" customHeight="false" outlineLevel="0" collapsed="false">
      <c r="A2" s="2" t="s">
        <v>327</v>
      </c>
    </row>
    <row r="4" customFormat="false" ht="15" hidden="false" customHeight="false" outlineLevel="0" collapsed="false">
      <c r="A4" s="5" t="s">
        <v>328</v>
      </c>
      <c r="B4" s="5"/>
      <c r="C4" s="5"/>
      <c r="D4" s="5"/>
      <c r="E4" s="5"/>
      <c r="F4" s="5"/>
      <c r="G4" s="5"/>
      <c r="H4" s="5"/>
    </row>
    <row r="5" customFormat="false" ht="15" hidden="false" customHeight="false" outlineLevel="0" collapsed="false">
      <c r="A5" s="4" t="s">
        <v>329</v>
      </c>
      <c r="B5" s="4" t="s">
        <v>330</v>
      </c>
      <c r="C5" s="4" t="s">
        <v>7</v>
      </c>
      <c r="D5" s="4" t="s">
        <v>331</v>
      </c>
      <c r="E5" s="4" t="s">
        <v>332</v>
      </c>
      <c r="F5" s="4" t="s">
        <v>12</v>
      </c>
      <c r="G5" s="4" t="s">
        <v>13</v>
      </c>
      <c r="H5" s="4" t="s">
        <v>333</v>
      </c>
    </row>
    <row r="6" customFormat="false" ht="31.5" hidden="false" customHeight="true" outlineLevel="0" collapsed="false">
      <c r="A6" s="6" t="s">
        <v>334</v>
      </c>
      <c r="B6" s="7" t="s">
        <v>335</v>
      </c>
      <c r="C6" s="8" t="n">
        <v>2</v>
      </c>
      <c r="D6" s="36" t="n">
        <v>39.99</v>
      </c>
      <c r="E6" s="37" t="n">
        <f aca="false">C6*D6</f>
        <v>79.98</v>
      </c>
      <c r="F6" s="7" t="s">
        <v>45</v>
      </c>
      <c r="G6" s="11" t="s">
        <v>13</v>
      </c>
      <c r="H6" s="7" t="s">
        <v>336</v>
      </c>
    </row>
    <row r="7" customFormat="false" ht="31.5" hidden="false" customHeight="true" outlineLevel="0" collapsed="false">
      <c r="A7" s="6" t="s">
        <v>334</v>
      </c>
      <c r="B7" s="7" t="s">
        <v>337</v>
      </c>
      <c r="C7" s="8" t="n">
        <v>1</v>
      </c>
      <c r="D7" s="36" t="n">
        <v>19.99</v>
      </c>
      <c r="E7" s="37" t="n">
        <f aca="false">C7*D7</f>
        <v>19.99</v>
      </c>
      <c r="F7" s="7" t="s">
        <v>45</v>
      </c>
      <c r="G7" s="11" t="s">
        <v>13</v>
      </c>
      <c r="H7" s="7" t="s">
        <v>338</v>
      </c>
    </row>
    <row r="8" customFormat="false" ht="31.5" hidden="false" customHeight="true" outlineLevel="0" collapsed="false">
      <c r="A8" s="6" t="s">
        <v>334</v>
      </c>
      <c r="B8" s="7" t="s">
        <v>339</v>
      </c>
      <c r="C8" s="8" t="n">
        <v>1</v>
      </c>
      <c r="D8" s="36" t="n">
        <v>7.61</v>
      </c>
      <c r="E8" s="37" t="n">
        <f aca="false">C8*D8</f>
        <v>7.61</v>
      </c>
      <c r="F8" s="7" t="s">
        <v>54</v>
      </c>
      <c r="G8" s="11" t="s">
        <v>13</v>
      </c>
      <c r="H8" s="7" t="s">
        <v>340</v>
      </c>
    </row>
    <row r="9" customFormat="false" ht="31.5" hidden="false" customHeight="true" outlineLevel="0" collapsed="false">
      <c r="A9" s="6" t="s">
        <v>334</v>
      </c>
      <c r="B9" s="7" t="s">
        <v>341</v>
      </c>
      <c r="C9" s="8" t="n">
        <v>1</v>
      </c>
      <c r="D9" s="36" t="n">
        <v>5</v>
      </c>
      <c r="E9" s="37" t="n">
        <f aca="false">C9*D9</f>
        <v>5</v>
      </c>
      <c r="F9" s="7" t="s">
        <v>342</v>
      </c>
      <c r="G9" s="11" t="s">
        <v>13</v>
      </c>
      <c r="H9" s="7" t="s">
        <v>343</v>
      </c>
    </row>
    <row r="10" customFormat="false" ht="31.5" hidden="false" customHeight="true" outlineLevel="0" collapsed="false">
      <c r="A10" s="6" t="s">
        <v>334</v>
      </c>
      <c r="B10" s="7" t="s">
        <v>344</v>
      </c>
      <c r="C10" s="8" t="n">
        <v>1</v>
      </c>
      <c r="D10" s="36" t="n">
        <v>6</v>
      </c>
      <c r="E10" s="37" t="n">
        <f aca="false">C10*D10</f>
        <v>6</v>
      </c>
      <c r="F10" s="7" t="s">
        <v>342</v>
      </c>
      <c r="G10" s="11" t="s">
        <v>13</v>
      </c>
      <c r="H10" s="7" t="s">
        <v>345</v>
      </c>
    </row>
    <row r="11" customFormat="false" ht="15" hidden="false" customHeight="false" outlineLevel="0" collapsed="false">
      <c r="A11" s="23"/>
      <c r="B11" s="24" t="s">
        <v>346</v>
      </c>
      <c r="C11" s="23"/>
      <c r="D11" s="23"/>
      <c r="E11" s="25" t="n">
        <f aca="false">SUM(E6:E10)</f>
        <v>118.58</v>
      </c>
      <c r="F11" s="23"/>
      <c r="G11" s="23"/>
      <c r="H11" s="23"/>
    </row>
    <row r="13" customFormat="false" ht="15" hidden="false" customHeight="false" outlineLevel="0" collapsed="false">
      <c r="A13" s="5" t="s">
        <v>347</v>
      </c>
      <c r="B13" s="5"/>
      <c r="C13" s="5"/>
      <c r="D13" s="5"/>
      <c r="E13" s="5"/>
      <c r="F13" s="5"/>
      <c r="G13" s="5"/>
      <c r="H13" s="5"/>
    </row>
    <row r="14" customFormat="false" ht="15" hidden="false" customHeight="false" outlineLevel="0" collapsed="false">
      <c r="A14" s="4" t="s">
        <v>329</v>
      </c>
      <c r="B14" s="4" t="s">
        <v>330</v>
      </c>
      <c r="C14" s="4" t="s">
        <v>7</v>
      </c>
      <c r="D14" s="4" t="s">
        <v>331</v>
      </c>
      <c r="E14" s="4" t="s">
        <v>332</v>
      </c>
      <c r="F14" s="4" t="s">
        <v>12</v>
      </c>
      <c r="G14" s="4" t="s">
        <v>13</v>
      </c>
      <c r="H14" s="4" t="s">
        <v>333</v>
      </c>
    </row>
    <row r="15" customFormat="false" ht="31.5" hidden="false" customHeight="true" outlineLevel="0" collapsed="false">
      <c r="A15" s="6" t="s">
        <v>334</v>
      </c>
      <c r="B15" s="7" t="s">
        <v>348</v>
      </c>
      <c r="C15" s="8" t="n">
        <v>1</v>
      </c>
      <c r="D15" s="36" t="n">
        <v>20.13</v>
      </c>
      <c r="E15" s="37" t="n">
        <f aca="false">C15*D15</f>
        <v>20.13</v>
      </c>
      <c r="F15" s="7" t="s">
        <v>27</v>
      </c>
      <c r="G15" s="11" t="s">
        <v>13</v>
      </c>
      <c r="H15" s="7" t="s">
        <v>349</v>
      </c>
    </row>
    <row r="16" customFormat="false" ht="31.5" hidden="false" customHeight="true" outlineLevel="0" collapsed="false">
      <c r="A16" s="6" t="s">
        <v>334</v>
      </c>
      <c r="B16" s="7" t="s">
        <v>350</v>
      </c>
      <c r="C16" s="8" t="n">
        <v>1</v>
      </c>
      <c r="D16" s="36" t="n">
        <v>0.99</v>
      </c>
      <c r="E16" s="37" t="n">
        <f aca="false">C16*D16</f>
        <v>0.99</v>
      </c>
      <c r="F16" s="7" t="s">
        <v>27</v>
      </c>
      <c r="G16" s="11" t="s">
        <v>13</v>
      </c>
      <c r="H16" s="7" t="s">
        <v>351</v>
      </c>
    </row>
    <row r="17" customFormat="false" ht="15" hidden="false" customHeight="false" outlineLevel="0" collapsed="false">
      <c r="A17" s="23"/>
      <c r="B17" s="24" t="s">
        <v>352</v>
      </c>
      <c r="C17" s="23"/>
      <c r="D17" s="23"/>
      <c r="E17" s="25" t="n">
        <f aca="false">SUM(E15:E16)</f>
        <v>21.12</v>
      </c>
      <c r="F17" s="23"/>
      <c r="G17" s="23"/>
      <c r="H17" s="23"/>
    </row>
    <row r="19" customFormat="false" ht="15" hidden="false" customHeight="false" outlineLevel="0" collapsed="false">
      <c r="A19" s="5" t="s">
        <v>353</v>
      </c>
      <c r="B19" s="5"/>
      <c r="C19" s="5"/>
      <c r="D19" s="5"/>
      <c r="E19" s="5"/>
      <c r="F19" s="5"/>
      <c r="G19" s="5"/>
      <c r="H19" s="5"/>
    </row>
    <row r="20" customFormat="false" ht="15" hidden="false" customHeight="false" outlineLevel="0" collapsed="false">
      <c r="A20" s="4" t="s">
        <v>329</v>
      </c>
      <c r="B20" s="4" t="s">
        <v>330</v>
      </c>
      <c r="C20" s="4" t="s">
        <v>7</v>
      </c>
      <c r="D20" s="4" t="s">
        <v>331</v>
      </c>
      <c r="E20" s="4" t="s">
        <v>332</v>
      </c>
      <c r="F20" s="4" t="s">
        <v>12</v>
      </c>
      <c r="G20" s="4" t="s">
        <v>13</v>
      </c>
      <c r="H20" s="4" t="s">
        <v>333</v>
      </c>
    </row>
    <row r="21" customFormat="false" ht="31.5" hidden="false" customHeight="true" outlineLevel="0" collapsed="false">
      <c r="A21" s="6" t="s">
        <v>334</v>
      </c>
      <c r="B21" s="7" t="s">
        <v>354</v>
      </c>
      <c r="C21" s="8" t="n">
        <v>1</v>
      </c>
      <c r="D21" s="36" t="n">
        <v>15</v>
      </c>
      <c r="E21" s="37" t="n">
        <f aca="false">C21*D21</f>
        <v>15</v>
      </c>
      <c r="F21" s="7" t="s">
        <v>142</v>
      </c>
      <c r="G21" s="7"/>
      <c r="H21" s="7" t="s">
        <v>355</v>
      </c>
    </row>
    <row r="22" customFormat="false" ht="31.5" hidden="false" customHeight="true" outlineLevel="0" collapsed="false">
      <c r="A22" s="6" t="s">
        <v>334</v>
      </c>
      <c r="B22" s="7" t="s">
        <v>356</v>
      </c>
      <c r="C22" s="8" t="n">
        <v>1</v>
      </c>
      <c r="D22" s="36" t="n">
        <v>11.99</v>
      </c>
      <c r="E22" s="37" t="n">
        <f aca="false">C22*D22</f>
        <v>11.99</v>
      </c>
      <c r="F22" s="7" t="s">
        <v>45</v>
      </c>
      <c r="G22" s="11" t="s">
        <v>13</v>
      </c>
      <c r="H22" s="7" t="s">
        <v>357</v>
      </c>
    </row>
    <row r="23" customFormat="false" ht="15" hidden="false" customHeight="false" outlineLevel="0" collapsed="false">
      <c r="A23" s="23"/>
      <c r="B23" s="24" t="s">
        <v>358</v>
      </c>
      <c r="C23" s="23"/>
      <c r="D23" s="23"/>
      <c r="E23" s="25" t="n">
        <f aca="false">SUM(E21:E22)</f>
        <v>26.99</v>
      </c>
      <c r="F23" s="23"/>
      <c r="G23" s="23"/>
      <c r="H23" s="23"/>
    </row>
    <row r="25" customFormat="false" ht="15" hidden="false" customHeight="false" outlineLevel="0" collapsed="false">
      <c r="B25" s="2" t="s">
        <v>359</v>
      </c>
    </row>
  </sheetData>
  <mergeCells count="3">
    <mergeCell ref="A4:H4"/>
    <mergeCell ref="A13:H13"/>
    <mergeCell ref="A19:H19"/>
  </mergeCells>
  <hyperlinks>
    <hyperlink ref="G6" r:id="rId1" display="Link"/>
    <hyperlink ref="G7" r:id="rId2" display="Link"/>
    <hyperlink ref="G8" r:id="rId3" display="Link"/>
    <hyperlink ref="G9" r:id="rId4" display="Link"/>
    <hyperlink ref="G10" r:id="rId5" display="Link"/>
    <hyperlink ref="G15" r:id="rId6" display="Link"/>
    <hyperlink ref="G16" r:id="rId7" display="Link"/>
    <hyperlink ref="G22" r:id="rId8" display="Lin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0"/>
    <col collapsed="false" customWidth="true" hidden="false" outlineLevel="0" max="3" min="3" style="0" width="6"/>
    <col collapsed="false" customWidth="true" hidden="false" outlineLevel="0" max="4" min="4" style="0" width="56"/>
    <col collapsed="false" customWidth="true" hidden="false" outlineLevel="0" max="5" min="5" style="0" width="44"/>
    <col collapsed="false" customWidth="true" hidden="false" outlineLevel="0" max="6" min="6" style="0" width="30"/>
  </cols>
  <sheetData>
    <row r="1" customFormat="false" ht="22.05" hidden="false" customHeight="false" outlineLevel="0" collapsed="false">
      <c r="A1" s="38" t="s">
        <v>360</v>
      </c>
    </row>
    <row r="2" customFormat="false" ht="15" hidden="false" customHeight="false" outlineLevel="0" collapsed="false">
      <c r="A2" s="39" t="s">
        <v>361</v>
      </c>
    </row>
    <row r="3" customFormat="false" ht="15" hidden="false" customHeight="false" outlineLevel="0" collapsed="false">
      <c r="A3" s="40" t="s">
        <v>362</v>
      </c>
    </row>
    <row r="5" customFormat="false" ht="23.85" hidden="false" customHeight="false" outlineLevel="0" collapsed="false">
      <c r="A5" s="4" t="s">
        <v>363</v>
      </c>
      <c r="B5" s="4" t="s">
        <v>330</v>
      </c>
      <c r="C5" s="4" t="s">
        <v>7</v>
      </c>
      <c r="D5" s="4" t="s">
        <v>364</v>
      </c>
      <c r="E5" s="4" t="s">
        <v>333</v>
      </c>
      <c r="F5" s="4" t="s">
        <v>365</v>
      </c>
    </row>
    <row r="6" customFormat="false" ht="31.5" hidden="false" customHeight="true" outlineLevel="0" collapsed="false">
      <c r="A6" s="13" t="s">
        <v>334</v>
      </c>
      <c r="B6" s="14" t="s">
        <v>366</v>
      </c>
      <c r="C6" s="13" t="n">
        <v>1</v>
      </c>
      <c r="D6" s="14" t="s">
        <v>367</v>
      </c>
      <c r="E6" s="14" t="s">
        <v>368</v>
      </c>
      <c r="F6" s="14"/>
    </row>
    <row r="7" customFormat="false" ht="31.5" hidden="false" customHeight="true" outlineLevel="0" collapsed="false">
      <c r="A7" s="13" t="s">
        <v>334</v>
      </c>
      <c r="B7" s="14" t="s">
        <v>369</v>
      </c>
      <c r="C7" s="13" t="n">
        <v>1</v>
      </c>
      <c r="D7" s="14" t="s">
        <v>370</v>
      </c>
      <c r="E7" s="14" t="s">
        <v>371</v>
      </c>
      <c r="F7" s="14"/>
    </row>
    <row r="8" customFormat="false" ht="31.5" hidden="false" customHeight="true" outlineLevel="0" collapsed="false">
      <c r="A8" s="13" t="s">
        <v>334</v>
      </c>
      <c r="B8" s="14" t="s">
        <v>372</v>
      </c>
      <c r="C8" s="13" t="n">
        <v>1</v>
      </c>
      <c r="D8" s="14" t="s">
        <v>373</v>
      </c>
      <c r="E8" s="14"/>
      <c r="F8" s="14"/>
    </row>
    <row r="9" customFormat="false" ht="31.5" hidden="false" customHeight="true" outlineLevel="0" collapsed="false">
      <c r="A9" s="13" t="s">
        <v>334</v>
      </c>
      <c r="B9" s="14" t="s">
        <v>374</v>
      </c>
      <c r="C9" s="13" t="n">
        <v>1</v>
      </c>
      <c r="D9" s="14" t="s">
        <v>375</v>
      </c>
      <c r="E9" s="14"/>
      <c r="F9" s="14"/>
    </row>
    <row r="10" customFormat="false" ht="31.5" hidden="false" customHeight="true" outlineLevel="0" collapsed="false">
      <c r="A10" s="13" t="s">
        <v>334</v>
      </c>
      <c r="B10" s="14" t="s">
        <v>376</v>
      </c>
      <c r="C10" s="13" t="n">
        <v>1</v>
      </c>
      <c r="D10" s="14" t="s">
        <v>377</v>
      </c>
      <c r="E10" s="14" t="s">
        <v>378</v>
      </c>
      <c r="F10" s="14"/>
    </row>
    <row r="11" customFormat="false" ht="31.5" hidden="false" customHeight="true" outlineLevel="0" collapsed="false">
      <c r="A11" s="13" t="s">
        <v>334</v>
      </c>
      <c r="B11" s="14" t="s">
        <v>379</v>
      </c>
      <c r="C11" s="13" t="n">
        <v>2</v>
      </c>
      <c r="D11" s="14" t="s">
        <v>380</v>
      </c>
      <c r="E11" s="14" t="s">
        <v>378</v>
      </c>
      <c r="F11" s="14"/>
    </row>
    <row r="14" customFormat="false" ht="15" hidden="false" customHeight="false" outlineLevel="0" collapsed="false">
      <c r="A14" s="41"/>
      <c r="B14" s="42" t="s">
        <v>381</v>
      </c>
      <c r="C14" s="41"/>
      <c r="D14" s="41"/>
      <c r="E14" s="41"/>
      <c r="F14" s="41"/>
    </row>
    <row r="15" customFormat="false" ht="15" hidden="false" customHeight="false" outlineLevel="0" collapsed="false">
      <c r="B15" s="31" t="s">
        <v>382</v>
      </c>
    </row>
    <row r="16" customFormat="false" ht="15" hidden="false" customHeight="false" outlineLevel="0" collapsed="false">
      <c r="B16" s="31" t="s">
        <v>383</v>
      </c>
    </row>
    <row r="17" customFormat="false" ht="15" hidden="false" customHeight="false" outlineLevel="0" collapsed="false">
      <c r="B17" s="31" t="s">
        <v>384</v>
      </c>
    </row>
    <row r="18" customFormat="false" ht="15" hidden="false" customHeight="false" outlineLevel="0" collapsed="false">
      <c r="B18" s="31" t="s">
        <v>385</v>
      </c>
    </row>
    <row r="19" customFormat="false" ht="15" hidden="false" customHeight="false" outlineLevel="0" collapsed="false">
      <c r="B19" s="31" t="s">
        <v>386</v>
      </c>
    </row>
    <row r="20" customFormat="false" ht="15" hidden="false" customHeight="false" outlineLevel="0" collapsed="false">
      <c r="B20" s="31" t="s">
        <v>387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2026-10-20T00:32:15Z</dcterms:created>
  <dc:creator>openpyxl</dc:creator>
  <dc:description/>
  <dc:language>en-US</dc:language>
  <cp:lastModifiedBy/>
  <dcterms:modified xsi:type="dcterms:W3CDTF">2026-10-20T00:32:15Z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