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<sst xmlns="http://schemas.openxmlformats.org/spreadsheetml/2006/main" count="642" uniqueCount="387">
  <si>
    <t xml:space="preserve">Counter-UAS Turret - Bill of Materials (one row per part)</t>
  </si>
  <si>
    <t xml:space="preserve">Updated 2026-10-19.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</si>
  <si>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</si>
  <si>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</si>
  <si>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</si>
  <si>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</si>
  <si>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</si>
  <si>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</si>
  <si>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</si>
  <si>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</si>
  <si>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</si>
  <si>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</si>
  <si>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</si>
  <si>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</si>
  <si>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</si>
  <si>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</si>
  <si>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</si>
  <si>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</si>
  <si>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</si>
  <si>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</si>
  <si>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</si>
  <si>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</si>
  <si>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</si>
  <si>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</si>
  <si>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</si>
  <si>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</si>
  <si>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</si>
  <si>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</si>
  <si>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</si>
  <si>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</si>
  <si>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the final turret still needs a Nucleo I own. This row stays counted until I decide which Nucleo the PCB is built for.</t>
  </si>
  <si>
    <t xml:space="preserve">Oct 24 (decide which Nucleo the PCB is built for)</t>
  </si>
  <si>
    <t xml:space="preserve">Oct 24 at the latest (Digi-Key). Put it in one order with the TVS so I pay shipping once.</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</si>
  <si>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</si>
  <si>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</si>
  <si>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</si>
  <si>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</si>
  <si>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</si>
  <si>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</si>
  <si>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</si>
  <si>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</si>
  <si>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</si>
  <si>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</si>
  <si>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</si>
  <si>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</si>
  <si>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</si>
  <si>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</si>
  <si>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</si>
  <si>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Voltage is not stated on the page; BTT's V1.0 manual rates 1.65 A at 12 V. Power it first from the bench supply at 12 V with about a 1 A current limit. Pinout in the V1.0 manual may differ from V1.1, so read the labels printed on your board.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</si>
  <si>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</si>
  <si>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</si>
  <si>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</si>
  <si>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</si>
  <si>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AREALER 4-pack 5 mW 650 nm red dot laser modules, 5 V (Walmart item 14322024651)</t>
  </si>
  <si>
    <t xml:space="preserve">Walmart</t>
  </si>
  <si>
    <t xml:space="preserve">Free shipping; arrival date needs your ZIP code (not checked).</t>
  </si>
  <si>
    <t xml:space="preserve">I want the laser in Prototype 1 because I want to see the result of it firing when the model detects. I chose this cheap 4-pack ($7.61) over the $25 Quarton to save about $17 and said not to worry about the maker's power guarantee. 4 modules also means spares while I test the wiring.</t>
  </si>
  <si>
    <t xml:space="preserve">5 mW = Class 3R, ABOVE the project's 1 mW rule, and unbranded with no ratings, so the real power is unknown. Wall or paper target only, never aim at people, pets or shiny surfaces, never look into it. Do not call it Class 2.</t>
  </si>
  <si>
    <t xml:space="preserve">Mon Oct 19 at the latest; check arrival date at checkout (marketplace seller)</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</si>
  <si>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</si>
  <si>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</si>
  <si>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</si>
  <si>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</si>
  <si>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</si>
  <si>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</si>
  <si>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</si>
  <si>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</si>
  <si>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</si>
  <si>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</si>
  <si>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</si>
  <si>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</si>
  <si>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</si>
  <si>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</si>
  <si>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</si>
  <si>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</si>
  <si>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</si>
  <si>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</si>
  <si>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</si>
  <si>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</si>
  <si>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</si>
  <si>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</si>
  <si>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</si>
  <si>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</si>
  <si>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</si>
  <si>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</si>
  <si>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</si>
  <si>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</si>
  <si>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</si>
  <si>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</si>
  <si>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</si>
  <si>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</si>
  <si>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</si>
  <si>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</si>
  <si>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</si>
  <si>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</si>
  <si>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</si>
  <si>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</si>
  <si>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</si>
  <si>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Oct 19 (after ECE shop check)</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</si>
  <si>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</si>
  <si>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</si>
  <si>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</si>
  <si>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</si>
  <si>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 For P1 on the 3 A loan adapter, a 5 A fuse is enough. 15 A is the final-turret value.</t>
  </si>
  <si>
    <t xml:space="preserve">Oct 19 (local store)</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</si>
  <si>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</si>
  <si>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</si>
  <si>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</si>
  <si>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</si>
  <si>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Oct 24, in the same Digi-Key order as the Nucleo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</si>
  <si>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</si>
  <si>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</si>
  <si>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</si>
  <si>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</si>
  <si>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</si>
  <si>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</si>
  <si>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</si>
  <si>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</si>
  <si>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</si>
  <si>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</si>
  <si>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</si>
  <si>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</si>
  <si>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</si>
  <si>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</si>
  <si>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</si>
  <si>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</si>
  <si>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</si>
  <si>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</si>
  <si>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</si>
  <si>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</si>
  <si>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</si>
  <si>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</si>
  <si>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</si>
  <si>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</si>
  <si>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</si>
  <si>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</si>
  <si>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</si>
  <si>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</si>
  <si>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</si>
  <si>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</si>
  <si>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</si>
  <si>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</si>
  <si>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</si>
  <si>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</si>
  <si>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</si>
  <si>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</si>
  <si>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</si>
  <si>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</si>
  <si>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</si>
  <si>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</si>
  <si>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</si>
  <si>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</si>
  <si>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</si>
  <si>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</si>
  <si>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</si>
  <si>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</si>
  <si>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</si>
  <si>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</si>
  <si>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</si>
  <si>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</si>
  <si>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</si>
  <si>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</si>
  <si>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</si>
  <si>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</si>
  <si>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</si>
  <si>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</si>
  <si>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</si>
  <si>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</si>
  <si>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</si>
  <si>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</si>
  <si>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</si>
  <si>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</si>
  <si>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</si>
  <si>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</si>
  <si>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</si>
  <si>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</si>
  <si>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</si>
  <si>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</si>
  <si>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</si>
  <si>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</si>
  <si>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</si>
  <si>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</si>
  <si>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</si>
  <si>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</si>
  <si>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</si>
  <si>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</si>
  <si>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</si>
  <si>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</si>
  <si>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</si>
  <si>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</si>
  <si>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</si>
  <si>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</si>
  <si>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</si>
  <si>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</si>
  <si>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</si>
  <si>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</si>
  <si>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</si>
  <si>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</si>
  <si>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</si>
  <si>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</si>
  <si>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</si>
  <si>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</si>
  <si>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</si>
  <si>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</si>
  <si>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</si>
  <si>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</si>
  <si>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</si>
  <si>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</si>
  <si>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</si>
  <si>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</si>
  <si>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</si>
  <si>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</si>
  <si>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</si>
  <si>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</si>
  <si>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</si>
  <si>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</si>
  <si>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</si>
  <si>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</si>
  <si>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</si>
  <si>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</si>
  <si>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</si>
  <si>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</si>
  <si>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</si>
  <si>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</si>
  <si>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</si>
  <si>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</si>
  <si>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</si>
  <si>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</si>
  <si>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</si>
  <si>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</si>
  <si>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</si>
  <si>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</si>
  <si>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</si>
  <si>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</si>
  <si>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</si>
  <si>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</si>
  <si>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</si>
  <si>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</si>
  <si>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</si>
  <si>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</si>
  <si>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</si>
  <si>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</si>
  <si>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</si>
  <si>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</si>
  <si>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</si>
  <si>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</si>
  <si>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</si>
  <si>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</si>
  <si>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</si>
  <si>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</si>
  <si>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</si>
  <si>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</si>
  <si>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</si>
  <si>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</si>
  <si>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</si>
  <si>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</si>
  <si>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</si>
  <si>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</si>
  <si>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</si>
  <si>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</si>
  <si>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</si>
  <si>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</si>
  <si>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</si>
  <si>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</si>
  <si>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</si>
  <si>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</si>
  <si>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</si>
  <si>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</si>
  <si>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</si>
  <si>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</si>
  <si>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</si>
  <si>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</si>
  <si>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</si>
  <si>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</si>
  <si>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</si>
  <si>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</si>
  <si>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</si>
  <si>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</si>
  <si>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</si>
  <si>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</si>
  <si>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</si>
  <si>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</si>
  <si>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</si>
  <si>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</si>
  <si>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</si>
  <si>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</si>
  <si>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</si>
  <si>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</si>
  <si>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</si>
  <si>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</si>
  <si>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</si>
  <si>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</si>
  <si>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</si>
  <si>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</si>
  <si>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</si>
  <si>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</si>
  <si>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</si>
  <si>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</si>
  <si>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</si>
  <si>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</si>
  <si>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</si>
  <si>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</si>
  <si>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</si>
  <si>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</si>
  <si>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</si>
  <si>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</si>
  <si>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</si>
  <si>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</si>
  <si>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</si>
  <si>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</si>
  <si>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</si>
  <si>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</si>
  <si>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</si>
  <si>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</si>
  <si>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</si>
  <si>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</si>
  <si>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</si>
  <si>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</si>
  <si>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</si>
  <si>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</si>
  <si>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</si>
  <si>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</si>
  <si>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</si>
  <si>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</si>
  <si>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</si>
  <si>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</si>
  <si>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still have to BUY - Mon Oct 19, 2026</t>
  </si>
  <si>
    <t xml:space="preserve">Everything else for Prototype 1 is free: ECE shop loans (return them) and my 2k7 kit. Prices are from the BOM tab.</t>
  </si>
  <si>
    <t xml:space="preserve">BUY TODAY (do not depend on the ECE shop)</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</si>
  <si>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</si>
  <si>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</si>
  <si>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</si>
  <si>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</si>
  <si>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</si>
  <si>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</si>
  <si>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</si>
  <si>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Critical path: the Oct 26 motor test needs these. The ECE shop has no motors. The kit includes the motor. 30-day free returns.</t>
  </si>
  <si>
    <t xml:space="preserve">Arducam 1080p autofocus USB camera</t>
  </si>
  <si>
    <t xml:space="preserve">Final camera for training and the turret. When it arrives, check MJPG 1920x1080 at 30 fps is listed (v4l2-ctl or OBS); return it if not.</t>
  </si>
  <si>
    <t xml:space="preserve">AREALER 5 mW red laser 4-pack</t>
  </si>
  <si>
    <t xml:space="preserve">Check the arrival date at checkout (marketplace seller). Never aim at people, pets or shiny surfaces.</t>
  </si>
  <si>
    <t xml:space="preserve">Inline ATC fuse holder (regular size)</t>
  </si>
  <si>
    <t xml:space="preserve">Buy at a local auto parts store or hardware store, same day. Price is a guess. Regular ATC size, thick wire.</t>
  </si>
  <si>
    <t xml:space="preserve">ATC blade fuses (5-10 A for P1; 15 A for the final turret)</t>
  </si>
  <si>
    <t xml:space="preserve">Local store, same day. Buy a multi-pack. Price is a guess.</t>
  </si>
  <si>
    <t xml:space="preserve">TOTAL TO BUY TODAY</t>
  </si>
  <si>
    <t xml:space="preserve">DIGI-KEY ORDER - by Fri Oct 24 (one order, so shipping is paid once)</t>
  </si>
  <si>
    <t xml:space="preserve">STMicroelectronics NUCLEO-G474RE</t>
  </si>
  <si>
    <t xml:space="preserve">Needed for the final turret because the shop's Nucleo goes back. Confirm Digi-Key shows it in stock when I order.</t>
  </si>
  <si>
    <t xml:space="preserve">Littelfuse SMCJ15A spike protector (TVS diode)</t>
  </si>
  <si>
    <t xml:space="preserve">A $0.99 part, so it rides in the same order as the Nucleo.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</si>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</sst>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4DFEC"/>
        <bgColor rgb="FFD9E1F2"/>
      </patternFill>
    </fill>
    <fill>
      <patternFill patternType="solid">
        <fgColor rgb="FFE2EFDA"/>
        <bgColor rgb="FFE4DF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hemlockhardware.com/products/580112-bussmann-20-amp-12-atc-inline-blade-fuse-holder" TargetMode="External"/><Relationship Id="rId7" Type="http://schemas.openxmlformats.org/officeDocument/2006/relationships/hyperlink" Target="https://hemlockhardware.com/products/573597-bussmann-15-amp-32-volt-atc-blade-automotive-fuse-4-pack"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hemlockhardware.com/products/580112-bussmann-20-amp-12-atc-inline-blade-fuse-holder" TargetMode="External"/><Relationship Id="rId5" Type="http://schemas.openxmlformats.org/officeDocument/2006/relationships/hyperlink" Target="https://hemlockhardware.com/products/573597-bussmann-15-amp-32-volt-atc-blade-automotive-fuse-4-pack" TargetMode="External"/><Relationship Id="rId6" Type="http://schemas.openxmlformats.org/officeDocument/2006/relationships/hyperlink" Target="https://www.digikey.com/en/products/detail/stmicroelectronics/NUCLEO-G474RE/10231585" TargetMode="External"/><Relationship Id="rId7" Type="http://schemas.openxmlformats.org/officeDocument/2006/relationships/hyperlink" Target="https://www.digikey.com/en/products/detail/littelfuse-inc/SMCJ15A/762382"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17" hidden="false" customHeight="true" outlineLevel="0" collapsed="false">
      <c r="A6" s="6" t="n">
        <v>1</v>
      </c>
      <c r="B6" s="7" t="s">
        <v>22</v>
      </c>
      <c r="C6" s="7" t="s">
        <v>23</v>
      </c>
      <c r="D6" s="7" t="s">
        <v>24</v>
      </c>
      <c r="E6" s="8" t="n">
        <v>1</v>
      </c>
      <c r="F6" s="6" t="s">
        <v>25</v>
      </c>
      <c r="G6" s="6" t="s">
        <v>26</v>
      </c>
      <c r="H6" s="9" t="n">
        <v>20.13</v>
      </c>
      <c r="I6" s="10" t="n">
        <f aca="false">IF(H6="","",E6*H6)</f>
        <v>20.13</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29.75" hidden="false" customHeight="true" outlineLevel="0" collapsed="false">
      <c r="A8" s="6" t="n">
        <v>3</v>
      </c>
      <c r="B8" s="7" t="s">
        <v>42</v>
      </c>
      <c r="C8" s="7" t="s">
        <v>43</v>
      </c>
      <c r="D8" s="7" t="s">
        <v>44</v>
      </c>
      <c r="E8" s="8" t="n">
        <v>2</v>
      </c>
      <c r="F8" s="6" t="s">
        <v>25</v>
      </c>
      <c r="G8" s="6" t="s">
        <v>26</v>
      </c>
      <c r="H8" s="9" t="n">
        <v>39.99</v>
      </c>
      <c r="I8" s="10" t="n">
        <f aca="false">IF(H8="","",E8*H8)</f>
        <v>79.98</v>
      </c>
      <c r="J8" s="7" t="s">
        <v>45</v>
      </c>
      <c r="K8" s="11" t="s">
        <v>13</v>
      </c>
      <c r="L8" s="7" t="s">
        <v>46</v>
      </c>
      <c r="M8" s="7" t="s">
        <v>47</v>
      </c>
      <c r="N8" s="12"/>
      <c r="O8" s="12"/>
      <c r="P8" s="7" t="s">
        <v>48</v>
      </c>
      <c r="Q8" s="7" t="s">
        <v>49</v>
      </c>
      <c r="R8" s="7" t="s">
        <v>50</v>
      </c>
    </row>
    <row r="9" customFormat="false" ht="64.5" hidden="false" customHeight="true" outlineLevel="0" collapsed="false">
      <c r="A9" s="6" t="n">
        <v>4</v>
      </c>
      <c r="B9" s="7" t="s">
        <v>51</v>
      </c>
      <c r="C9" s="7" t="s">
        <v>52</v>
      </c>
      <c r="D9" s="7" t="s">
        <v>53</v>
      </c>
      <c r="E9" s="8" t="n">
        <v>1</v>
      </c>
      <c r="F9" s="6" t="s">
        <v>25</v>
      </c>
      <c r="G9" s="6" t="s">
        <v>26</v>
      </c>
      <c r="H9" s="9" t="n">
        <v>7.61</v>
      </c>
      <c r="I9" s="10" t="n">
        <f aca="false">IF(H9="","",E9*H9)</f>
        <v>7.61</v>
      </c>
      <c r="J9" s="7" t="s">
        <v>54</v>
      </c>
      <c r="K9" s="11" t="s">
        <v>13</v>
      </c>
      <c r="L9" s="7" t="s">
        <v>55</v>
      </c>
      <c r="M9" s="7" t="s">
        <v>56</v>
      </c>
      <c r="N9" s="12"/>
      <c r="O9" s="12"/>
      <c r="P9" s="7" t="s">
        <v>57</v>
      </c>
      <c r="Q9" s="7" t="s">
        <v>49</v>
      </c>
      <c r="R9" s="7" t="s">
        <v>58</v>
      </c>
    </row>
    <row r="10" customFormat="false" ht="78" hidden="false" customHeight="true" outlineLevel="0" collapsed="false">
      <c r="A10" s="13" t="n">
        <v>5</v>
      </c>
      <c r="B10" s="14" t="s">
        <v>51</v>
      </c>
      <c r="C10" s="14" t="s">
        <v>59</v>
      </c>
      <c r="D10" s="14" t="s">
        <v>60</v>
      </c>
      <c r="E10" s="15" t="n">
        <v>2</v>
      </c>
      <c r="F10" s="13" t="s">
        <v>25</v>
      </c>
      <c r="G10" s="13" t="s">
        <v>35</v>
      </c>
      <c r="H10" s="16" t="n">
        <v>0</v>
      </c>
      <c r="I10" s="17" t="n">
        <f aca="false">IF(H10="","",E10*H10)</f>
        <v>0</v>
      </c>
      <c r="J10" s="14" t="s">
        <v>61</v>
      </c>
      <c r="K10" s="14"/>
      <c r="L10" s="14" t="s">
        <v>28</v>
      </c>
      <c r="M10" s="14" t="s">
        <v>62</v>
      </c>
      <c r="N10" s="12"/>
      <c r="O10" s="12"/>
      <c r="P10" s="14" t="s">
        <v>63</v>
      </c>
      <c r="Q10" s="14" t="s">
        <v>40</v>
      </c>
      <c r="R10" s="14" t="s">
        <v>64</v>
      </c>
    </row>
    <row r="11" customFormat="false" ht="142.5" hidden="false" customHeight="true" outlineLevel="0" collapsed="false">
      <c r="A11" s="6" t="n">
        <v>6</v>
      </c>
      <c r="B11" s="7" t="s">
        <v>65</v>
      </c>
      <c r="C11" s="7" t="s">
        <v>66</v>
      </c>
      <c r="D11" s="7" t="s">
        <v>67</v>
      </c>
      <c r="E11" s="8" t="n">
        <v>1</v>
      </c>
      <c r="F11" s="6" t="s">
        <v>25</v>
      </c>
      <c r="G11" s="6" t="s">
        <v>26</v>
      </c>
      <c r="H11" s="9" t="n">
        <v>19.99</v>
      </c>
      <c r="I11" s="10" t="n">
        <f aca="false">IF(H11="","",E11*H11)</f>
        <v>19.99</v>
      </c>
      <c r="J11" s="7" t="s">
        <v>45</v>
      </c>
      <c r="K11" s="11" t="s">
        <v>13</v>
      </c>
      <c r="L11" s="7" t="s">
        <v>68</v>
      </c>
      <c r="M11" s="7" t="s">
        <v>69</v>
      </c>
      <c r="N11" s="12"/>
      <c r="O11" s="12"/>
      <c r="P11" s="7" t="s">
        <v>70</v>
      </c>
      <c r="Q11" s="7" t="s">
        <v>49</v>
      </c>
      <c r="R11" s="7" t="s">
        <v>71</v>
      </c>
    </row>
    <row r="12" customFormat="false" ht="78" hidden="false" customHeight="true" outlineLevel="0" collapsed="false">
      <c r="A12" s="6" t="n">
        <v>7</v>
      </c>
      <c r="B12" s="7" t="s">
        <v>72</v>
      </c>
      <c r="C12" s="7" t="s">
        <v>73</v>
      </c>
      <c r="D12" s="7" t="s">
        <v>74</v>
      </c>
      <c r="E12" s="8" t="n">
        <v>0</v>
      </c>
      <c r="F12" s="6" t="s">
        <v>25</v>
      </c>
      <c r="G12" s="6" t="s">
        <v>75</v>
      </c>
      <c r="H12" s="9" t="n">
        <v>11.99</v>
      </c>
      <c r="I12" s="10" t="n">
        <f aca="false">IF(H12="","",E12*H12)</f>
        <v>0</v>
      </c>
      <c r="J12" s="7" t="s">
        <v>45</v>
      </c>
      <c r="K12" s="11" t="s">
        <v>13</v>
      </c>
      <c r="L12" s="7" t="s">
        <v>76</v>
      </c>
      <c r="M12" s="7" t="s">
        <v>77</v>
      </c>
      <c r="N12" s="12"/>
      <c r="O12" s="12"/>
      <c r="P12" s="7" t="s">
        <v>78</v>
      </c>
      <c r="Q12" s="7" t="s">
        <v>79</v>
      </c>
      <c r="R12" s="7" t="s">
        <v>80</v>
      </c>
    </row>
    <row r="13" customFormat="false" ht="103.5" hidden="false" customHeight="true" outlineLevel="0" collapsed="false">
      <c r="A13" s="13" t="n">
        <v>8</v>
      </c>
      <c r="B13" s="14" t="s">
        <v>72</v>
      </c>
      <c r="C13" s="14" t="s">
        <v>81</v>
      </c>
      <c r="D13" s="14" t="s">
        <v>82</v>
      </c>
      <c r="E13" s="15" t="n">
        <v>1</v>
      </c>
      <c r="F13" s="13" t="s">
        <v>25</v>
      </c>
      <c r="G13" s="13" t="s">
        <v>35</v>
      </c>
      <c r="H13" s="16" t="n">
        <v>0</v>
      </c>
      <c r="I13" s="17" t="n">
        <f aca="false">IF(H13="","",E13*H13)</f>
        <v>0</v>
      </c>
      <c r="J13" s="14" t="s">
        <v>36</v>
      </c>
      <c r="K13" s="14"/>
      <c r="L13" s="14" t="s">
        <v>37</v>
      </c>
      <c r="M13" s="14" t="s">
        <v>83</v>
      </c>
      <c r="N13" s="12"/>
      <c r="O13" s="12"/>
      <c r="P13" s="14" t="s">
        <v>84</v>
      </c>
      <c r="Q13" s="14" t="s">
        <v>40</v>
      </c>
      <c r="R13" s="14" t="s">
        <v>41</v>
      </c>
    </row>
    <row r="14" customFormat="false" ht="45" hidden="false" customHeight="true" outlineLevel="0" collapsed="false">
      <c r="A14" s="18" t="n">
        <v>9</v>
      </c>
      <c r="B14" s="19" t="s">
        <v>72</v>
      </c>
      <c r="C14" s="19" t="s">
        <v>85</v>
      </c>
      <c r="D14" s="19" t="s">
        <v>86</v>
      </c>
      <c r="E14" s="20" t="n">
        <v>1</v>
      </c>
      <c r="F14" s="18" t="s">
        <v>25</v>
      </c>
      <c r="G14" s="18" t="s">
        <v>87</v>
      </c>
      <c r="H14" s="21" t="n">
        <v>0</v>
      </c>
      <c r="I14" s="22" t="n">
        <f aca="false">IF(H14="","",E14*H14)</f>
        <v>0</v>
      </c>
      <c r="J14" s="19" t="s">
        <v>88</v>
      </c>
      <c r="K14" s="19"/>
      <c r="L14" s="19" t="s">
        <v>37</v>
      </c>
      <c r="M14" s="19" t="s">
        <v>89</v>
      </c>
      <c r="N14" s="12"/>
      <c r="O14" s="12"/>
      <c r="P14" s="19" t="s">
        <v>90</v>
      </c>
      <c r="Q14" s="19" t="s">
        <v>40</v>
      </c>
      <c r="R14" s="19" t="s">
        <v>64</v>
      </c>
    </row>
    <row r="15" customFormat="false" ht="51.75" hidden="false" customHeight="true" outlineLevel="0" collapsed="false">
      <c r="A15" s="6" t="n">
        <v>10</v>
      </c>
      <c r="B15" s="7" t="s">
        <v>72</v>
      </c>
      <c r="C15" s="7" t="s">
        <v>91</v>
      </c>
      <c r="D15" s="7" t="s">
        <v>92</v>
      </c>
      <c r="E15" s="8" t="n">
        <v>1</v>
      </c>
      <c r="F15" s="6" t="s">
        <v>25</v>
      </c>
      <c r="G15" s="6" t="s">
        <v>93</v>
      </c>
      <c r="H15" s="9" t="n">
        <v>5</v>
      </c>
      <c r="I15" s="10" t="n">
        <f aca="false">IF(H15="","",E15*H15)</f>
        <v>5</v>
      </c>
      <c r="J15" s="7" t="s">
        <v>94</v>
      </c>
      <c r="K15" s="11" t="s">
        <v>13</v>
      </c>
      <c r="L15" s="7" t="s">
        <v>95</v>
      </c>
      <c r="M15" s="7" t="s">
        <v>96</v>
      </c>
      <c r="N15" s="12"/>
      <c r="O15" s="12"/>
      <c r="P15" s="7" t="s">
        <v>97</v>
      </c>
      <c r="Q15" s="7" t="s">
        <v>98</v>
      </c>
      <c r="R15" s="7" t="s">
        <v>99</v>
      </c>
    </row>
    <row r="16" customFormat="false" ht="45" hidden="false" customHeight="true" outlineLevel="0" collapsed="false">
      <c r="A16" s="6" t="n">
        <v>11</v>
      </c>
      <c r="B16" s="7" t="s">
        <v>72</v>
      </c>
      <c r="C16" s="7" t="s">
        <v>100</v>
      </c>
      <c r="D16" s="7" t="s">
        <v>101</v>
      </c>
      <c r="E16" s="8" t="n">
        <v>1</v>
      </c>
      <c r="F16" s="6" t="s">
        <v>25</v>
      </c>
      <c r="G16" s="6" t="s">
        <v>93</v>
      </c>
      <c r="H16" s="9" t="n">
        <v>6</v>
      </c>
      <c r="I16" s="10" t="n">
        <f aca="false">IF(H16="","",E16*H16)</f>
        <v>6</v>
      </c>
      <c r="J16" s="7" t="s">
        <v>94</v>
      </c>
      <c r="K16" s="11" t="s">
        <v>13</v>
      </c>
      <c r="L16" s="7" t="s">
        <v>95</v>
      </c>
      <c r="M16" s="7" t="s">
        <v>102</v>
      </c>
      <c r="N16" s="12"/>
      <c r="O16" s="12"/>
      <c r="P16" s="7" t="s">
        <v>103</v>
      </c>
      <c r="Q16" s="7" t="s">
        <v>104</v>
      </c>
      <c r="R16" s="7" t="s">
        <v>99</v>
      </c>
    </row>
    <row r="17" customFormat="false" ht="51.75" hidden="false" customHeight="true" outlineLevel="0" collapsed="false">
      <c r="A17" s="6" t="n">
        <v>12</v>
      </c>
      <c r="B17" s="7" t="s">
        <v>72</v>
      </c>
      <c r="C17" s="7" t="s">
        <v>105</v>
      </c>
      <c r="D17" s="7" t="s">
        <v>106</v>
      </c>
      <c r="E17" s="8" t="n">
        <v>1</v>
      </c>
      <c r="F17" s="6" t="s">
        <v>25</v>
      </c>
      <c r="G17" s="6" t="s">
        <v>75</v>
      </c>
      <c r="H17" s="9" t="n">
        <v>0.99</v>
      </c>
      <c r="I17" s="10" t="n">
        <f aca="false">IF(H17="","",E17*H17)</f>
        <v>0.99</v>
      </c>
      <c r="J17" s="7" t="s">
        <v>27</v>
      </c>
      <c r="K17" s="11" t="s">
        <v>13</v>
      </c>
      <c r="L17" s="7" t="s">
        <v>28</v>
      </c>
      <c r="M17" s="7" t="s">
        <v>107</v>
      </c>
      <c r="N17" s="12"/>
      <c r="O17" s="12"/>
      <c r="P17" s="7" t="s">
        <v>108</v>
      </c>
      <c r="Q17" s="7" t="s">
        <v>49</v>
      </c>
      <c r="R17" s="7" t="s">
        <v>109</v>
      </c>
    </row>
    <row r="18" customFormat="false" ht="90.75" hidden="false" customHeight="true" outlineLevel="0" collapsed="false">
      <c r="A18" s="18" t="n">
        <v>13</v>
      </c>
      <c r="B18" s="19" t="s">
        <v>72</v>
      </c>
      <c r="C18" s="19" t="s">
        <v>110</v>
      </c>
      <c r="D18" s="19" t="s">
        <v>111</v>
      </c>
      <c r="E18" s="20" t="n">
        <v>2</v>
      </c>
      <c r="F18" s="18" t="s">
        <v>25</v>
      </c>
      <c r="G18" s="18" t="s">
        <v>87</v>
      </c>
      <c r="H18" s="21" t="n">
        <v>0</v>
      </c>
      <c r="I18" s="22" t="n">
        <f aca="false">IF(H18="","",E18*H18)</f>
        <v>0</v>
      </c>
      <c r="J18" s="19" t="s">
        <v>88</v>
      </c>
      <c r="K18" s="19"/>
      <c r="L18" s="19" t="s">
        <v>37</v>
      </c>
      <c r="M18" s="19" t="s">
        <v>112</v>
      </c>
      <c r="N18" s="12"/>
      <c r="O18" s="12"/>
      <c r="P18" s="19" t="s">
        <v>113</v>
      </c>
      <c r="Q18" s="19" t="s">
        <v>40</v>
      </c>
      <c r="R18" s="19" t="s">
        <v>64</v>
      </c>
    </row>
    <row r="19" customFormat="false" ht="51.75" hidden="false" customHeight="true" outlineLevel="0" collapsed="false">
      <c r="A19" s="18" t="n">
        <v>14</v>
      </c>
      <c r="B19" s="19" t="s">
        <v>114</v>
      </c>
      <c r="C19" s="19" t="s">
        <v>115</v>
      </c>
      <c r="D19" s="19" t="s">
        <v>116</v>
      </c>
      <c r="E19" s="20" t="n">
        <v>1</v>
      </c>
      <c r="F19" s="18" t="s">
        <v>25</v>
      </c>
      <c r="G19" s="18" t="s">
        <v>87</v>
      </c>
      <c r="H19" s="21" t="n">
        <v>0</v>
      </c>
      <c r="I19" s="22" t="n">
        <f aca="false">IF(H19="","",E19*H19)</f>
        <v>0</v>
      </c>
      <c r="J19" s="19" t="s">
        <v>88</v>
      </c>
      <c r="K19" s="19"/>
      <c r="L19" s="19" t="s">
        <v>37</v>
      </c>
      <c r="M19" s="19" t="s">
        <v>117</v>
      </c>
      <c r="N19" s="12"/>
      <c r="O19" s="12"/>
      <c r="P19" s="19" t="s">
        <v>118</v>
      </c>
      <c r="Q19" s="19" t="s">
        <v>40</v>
      </c>
      <c r="R19" s="19" t="s">
        <v>64</v>
      </c>
    </row>
    <row r="20" customFormat="false" ht="45" hidden="false" customHeight="true" outlineLevel="0" collapsed="false">
      <c r="A20" s="18" t="n">
        <v>15</v>
      </c>
      <c r="B20" s="19" t="s">
        <v>114</v>
      </c>
      <c r="C20" s="19" t="s">
        <v>119</v>
      </c>
      <c r="D20" s="19" t="s">
        <v>120</v>
      </c>
      <c r="E20" s="20" t="n">
        <v>1</v>
      </c>
      <c r="F20" s="18" t="s">
        <v>25</v>
      </c>
      <c r="G20" s="18" t="s">
        <v>87</v>
      </c>
      <c r="H20" s="21" t="n">
        <v>0</v>
      </c>
      <c r="I20" s="22" t="n">
        <f aca="false">IF(H20="","",E20*H20)</f>
        <v>0</v>
      </c>
      <c r="J20" s="19" t="s">
        <v>88</v>
      </c>
      <c r="K20" s="19"/>
      <c r="L20" s="19" t="s">
        <v>37</v>
      </c>
      <c r="M20" s="19" t="s">
        <v>121</v>
      </c>
      <c r="N20" s="12"/>
      <c r="O20" s="12"/>
      <c r="P20" s="19" t="s">
        <v>122</v>
      </c>
      <c r="Q20" s="19" t="s">
        <v>40</v>
      </c>
      <c r="R20" s="19" t="s">
        <v>64</v>
      </c>
    </row>
    <row r="21" customFormat="false" ht="45" hidden="false" customHeight="true" outlineLevel="0" collapsed="false">
      <c r="A21" s="13" t="n">
        <v>16</v>
      </c>
      <c r="B21" s="14" t="s">
        <v>114</v>
      </c>
      <c r="C21" s="14" t="s">
        <v>123</v>
      </c>
      <c r="D21" s="14" t="s">
        <v>124</v>
      </c>
      <c r="E21" s="15" t="n">
        <v>1</v>
      </c>
      <c r="F21" s="13" t="s">
        <v>25</v>
      </c>
      <c r="G21" s="13" t="s">
        <v>35</v>
      </c>
      <c r="H21" s="16" t="n">
        <v>0</v>
      </c>
      <c r="I21" s="17" t="n">
        <f aca="false">IF(H21="","",E21*H21)</f>
        <v>0</v>
      </c>
      <c r="J21" s="14" t="s">
        <v>36</v>
      </c>
      <c r="K21" s="14"/>
      <c r="L21" s="14" t="s">
        <v>37</v>
      </c>
      <c r="M21" s="14" t="s">
        <v>125</v>
      </c>
      <c r="N21" s="12"/>
      <c r="O21" s="12"/>
      <c r="P21" s="14" t="s">
        <v>126</v>
      </c>
      <c r="Q21" s="14" t="s">
        <v>40</v>
      </c>
      <c r="R21" s="14" t="s">
        <v>64</v>
      </c>
    </row>
    <row r="22" customFormat="false" ht="45" hidden="false" customHeight="true" outlineLevel="0" collapsed="false">
      <c r="A22" s="18" t="n">
        <v>17</v>
      </c>
      <c r="B22" s="19" t="s">
        <v>114</v>
      </c>
      <c r="C22" s="19" t="s">
        <v>127</v>
      </c>
      <c r="D22" s="19" t="s">
        <v>128</v>
      </c>
      <c r="E22" s="20" t="n">
        <v>1</v>
      </c>
      <c r="F22" s="18" t="s">
        <v>25</v>
      </c>
      <c r="G22" s="18" t="s">
        <v>87</v>
      </c>
      <c r="H22" s="21" t="n">
        <v>0</v>
      </c>
      <c r="I22" s="22" t="n">
        <f aca="false">IF(H22="","",E22*H22)</f>
        <v>0</v>
      </c>
      <c r="J22" s="19" t="s">
        <v>88</v>
      </c>
      <c r="K22" s="19"/>
      <c r="L22" s="19" t="s">
        <v>37</v>
      </c>
      <c r="M22" s="19" t="s">
        <v>129</v>
      </c>
      <c r="N22" s="12"/>
      <c r="O22" s="12"/>
      <c r="P22" s="19" t="s">
        <v>130</v>
      </c>
      <c r="Q22" s="19" t="s">
        <v>40</v>
      </c>
      <c r="R22" s="19" t="s">
        <v>64</v>
      </c>
    </row>
    <row r="23" customFormat="false" ht="51.75" hidden="false" customHeight="true" outlineLevel="0" collapsed="false">
      <c r="A23" s="13" t="n">
        <v>18</v>
      </c>
      <c r="B23" s="14" t="s">
        <v>114</v>
      </c>
      <c r="C23" s="14" t="s">
        <v>131</v>
      </c>
      <c r="D23" s="14" t="s">
        <v>132</v>
      </c>
      <c r="E23" s="15" t="n">
        <v>1</v>
      </c>
      <c r="F23" s="13" t="s">
        <v>25</v>
      </c>
      <c r="G23" s="13" t="s">
        <v>35</v>
      </c>
      <c r="H23" s="16" t="n">
        <v>0</v>
      </c>
      <c r="I23" s="17" t="n">
        <f aca="false">IF(H23="","",E23*H23)</f>
        <v>0</v>
      </c>
      <c r="J23" s="14" t="s">
        <v>36</v>
      </c>
      <c r="K23" s="14"/>
      <c r="L23" s="14" t="s">
        <v>37</v>
      </c>
      <c r="M23" s="14" t="s">
        <v>133</v>
      </c>
      <c r="N23" s="12"/>
      <c r="O23" s="12"/>
      <c r="P23" s="14" t="s">
        <v>134</v>
      </c>
      <c r="Q23" s="14" t="s">
        <v>40</v>
      </c>
      <c r="R23" s="14" t="s">
        <v>64</v>
      </c>
    </row>
    <row r="24" customFormat="false" ht="45" hidden="false" customHeight="true" outlineLevel="0" collapsed="false">
      <c r="A24" s="13" t="n">
        <v>19</v>
      </c>
      <c r="B24" s="14" t="s">
        <v>114</v>
      </c>
      <c r="C24" s="14" t="s">
        <v>135</v>
      </c>
      <c r="D24" s="14" t="s">
        <v>136</v>
      </c>
      <c r="E24" s="15" t="n">
        <v>1</v>
      </c>
      <c r="F24" s="13" t="s">
        <v>25</v>
      </c>
      <c r="G24" s="13" t="s">
        <v>35</v>
      </c>
      <c r="H24" s="16" t="n">
        <v>0</v>
      </c>
      <c r="I24" s="17" t="n">
        <f aca="false">IF(H24="","",E24*H24)</f>
        <v>0</v>
      </c>
      <c r="J24" s="14" t="s">
        <v>36</v>
      </c>
      <c r="K24" s="14"/>
      <c r="L24" s="14" t="s">
        <v>37</v>
      </c>
      <c r="M24" s="14" t="s">
        <v>137</v>
      </c>
      <c r="N24" s="12"/>
      <c r="O24" s="12"/>
      <c r="P24" s="14" t="s">
        <v>138</v>
      </c>
      <c r="Q24" s="14" t="s">
        <v>40</v>
      </c>
      <c r="R24" s="14" t="s">
        <v>64</v>
      </c>
    </row>
    <row r="25" customFormat="false" ht="45" hidden="false" customHeight="true" outlineLevel="0" collapsed="false">
      <c r="A25" s="6" t="n">
        <v>20</v>
      </c>
      <c r="B25" s="7" t="s">
        <v>139</v>
      </c>
      <c r="C25" s="7" t="s">
        <v>140</v>
      </c>
      <c r="D25" s="7" t="s">
        <v>141</v>
      </c>
      <c r="E25" s="8" t="n">
        <v>1</v>
      </c>
      <c r="F25" s="6" t="s">
        <v>25</v>
      </c>
      <c r="G25" s="6" t="s">
        <v>93</v>
      </c>
      <c r="H25" s="9" t="n">
        <v>15</v>
      </c>
      <c r="I25" s="10" t="n">
        <f aca="false">IF(H25="","",E25*H25)</f>
        <v>15</v>
      </c>
      <c r="J25" s="7" t="s">
        <v>142</v>
      </c>
      <c r="K25" s="7"/>
      <c r="L25" s="7" t="s">
        <v>37</v>
      </c>
      <c r="M25" s="7" t="s">
        <v>143</v>
      </c>
      <c r="N25" s="12"/>
      <c r="O25" s="12"/>
      <c r="P25" s="7" t="s">
        <v>144</v>
      </c>
      <c r="Q25" s="7" t="s">
        <v>145</v>
      </c>
      <c r="R25" s="7" t="s">
        <v>146</v>
      </c>
    </row>
    <row r="26" customFormat="false" ht="51.75" hidden="false" customHeight="true" outlineLevel="0" collapsed="false">
      <c r="A26" s="6" t="n">
        <v>21</v>
      </c>
      <c r="B26" s="7" t="s">
        <v>147</v>
      </c>
      <c r="C26" s="7" t="s">
        <v>148</v>
      </c>
      <c r="D26" s="7" t="s">
        <v>149</v>
      </c>
      <c r="E26" s="8" t="n">
        <v>0</v>
      </c>
      <c r="F26" s="6" t="s">
        <v>25</v>
      </c>
      <c r="G26" s="6" t="s">
        <v>150</v>
      </c>
      <c r="H26" s="9" t="n">
        <v>0</v>
      </c>
      <c r="I26" s="10" t="n">
        <f aca="false">IF(H26="","",E26*H26)</f>
        <v>0</v>
      </c>
      <c r="J26" s="7" t="s">
        <v>37</v>
      </c>
      <c r="K26" s="7"/>
      <c r="L26" s="7" t="s">
        <v>37</v>
      </c>
      <c r="M26" s="7" t="s">
        <v>151</v>
      </c>
      <c r="N26" s="12"/>
      <c r="O26" s="12"/>
      <c r="P26" s="7" t="s">
        <v>152</v>
      </c>
      <c r="Q26" s="7"/>
      <c r="R26" s="7"/>
    </row>
    <row r="27" customFormat="false" ht="19.5" hidden="false" customHeight="true" outlineLevel="0" collapsed="false">
      <c r="A27" s="23"/>
      <c r="B27" s="23"/>
      <c r="C27" s="24" t="s">
        <v>153</v>
      </c>
      <c r="D27" s="23"/>
      <c r="E27" s="23"/>
      <c r="F27" s="23"/>
      <c r="G27" s="23"/>
      <c r="H27" s="23"/>
      <c r="I27" s="25" t="n">
        <f aca="false">SUMIFS($I$5:$I$26,$F$5:$F$26,"P1")</f>
        <v>154.7</v>
      </c>
      <c r="J27" s="23"/>
      <c r="K27" s="23"/>
      <c r="L27" s="23"/>
      <c r="M27" s="23"/>
      <c r="N27" s="23"/>
      <c r="O27" s="23"/>
      <c r="P27" s="23"/>
      <c r="Q27" s="23"/>
      <c r="R27" s="23"/>
    </row>
    <row r="28" customFormat="false" ht="19.5" hidden="false" customHeight="true" outlineLevel="0" collapsed="false">
      <c r="A28" s="5" t="s">
        <v>154</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155</v>
      </c>
      <c r="C29" s="7" t="s">
        <v>156</v>
      </c>
      <c r="D29" s="7" t="s">
        <v>157</v>
      </c>
      <c r="E29" s="8" t="n">
        <v>0</v>
      </c>
      <c r="F29" s="6" t="s">
        <v>155</v>
      </c>
      <c r="G29" s="6" t="s">
        <v>158</v>
      </c>
      <c r="H29" s="9"/>
      <c r="I29" s="10" t="str">
        <f aca="false">IF(H29="","",E29*H29)</f>
        <v/>
      </c>
      <c r="J29" s="7" t="s">
        <v>37</v>
      </c>
      <c r="K29" s="7"/>
      <c r="L29" s="7" t="s">
        <v>37</v>
      </c>
      <c r="M29" s="7" t="s">
        <v>159</v>
      </c>
      <c r="N29" s="12"/>
      <c r="O29" s="12"/>
      <c r="P29" s="7" t="s">
        <v>160</v>
      </c>
      <c r="Q29" s="7" t="s">
        <v>161</v>
      </c>
      <c r="R29" s="7" t="s">
        <v>37</v>
      </c>
    </row>
    <row r="30" customFormat="false" ht="64.5" hidden="false" customHeight="true" outlineLevel="0" collapsed="false">
      <c r="A30" s="6" t="n">
        <v>23</v>
      </c>
      <c r="B30" s="7" t="s">
        <v>155</v>
      </c>
      <c r="C30" s="7" t="s">
        <v>162</v>
      </c>
      <c r="D30" s="7" t="s">
        <v>163</v>
      </c>
      <c r="E30" s="8" t="n">
        <v>1</v>
      </c>
      <c r="F30" s="6" t="s">
        <v>155</v>
      </c>
      <c r="G30" s="6" t="s">
        <v>93</v>
      </c>
      <c r="H30" s="9" t="n">
        <v>25</v>
      </c>
      <c r="I30" s="10" t="n">
        <f aca="false">IF(H30="","",E30*H30)</f>
        <v>25</v>
      </c>
      <c r="J30" s="7" t="s">
        <v>164</v>
      </c>
      <c r="K30" s="7"/>
      <c r="L30" s="7" t="s">
        <v>165</v>
      </c>
      <c r="M30" s="7" t="s">
        <v>166</v>
      </c>
      <c r="N30" s="12"/>
      <c r="O30" s="12"/>
      <c r="P30" s="7" t="s">
        <v>167</v>
      </c>
      <c r="Q30" s="7" t="s">
        <v>168</v>
      </c>
      <c r="R30" s="7" t="s">
        <v>169</v>
      </c>
    </row>
    <row r="31" customFormat="false" ht="64.5" hidden="false" customHeight="true" outlineLevel="0" collapsed="false">
      <c r="A31" s="6" t="n">
        <v>24</v>
      </c>
      <c r="B31" s="7" t="s">
        <v>155</v>
      </c>
      <c r="C31" s="7" t="s">
        <v>170</v>
      </c>
      <c r="D31" s="7" t="s">
        <v>171</v>
      </c>
      <c r="E31" s="8" t="n">
        <v>0</v>
      </c>
      <c r="F31" s="6" t="s">
        <v>155</v>
      </c>
      <c r="G31" s="6" t="s">
        <v>75</v>
      </c>
      <c r="H31" s="9" t="n">
        <v>10.7</v>
      </c>
      <c r="I31" s="10" t="n">
        <f aca="false">IF(H31="","",E31*H31)</f>
        <v>0</v>
      </c>
      <c r="J31" s="7" t="s">
        <v>27</v>
      </c>
      <c r="K31" s="11" t="s">
        <v>13</v>
      </c>
      <c r="L31" s="7" t="s">
        <v>172</v>
      </c>
      <c r="M31" s="7" t="s">
        <v>173</v>
      </c>
      <c r="N31" s="12"/>
      <c r="O31" s="12"/>
      <c r="P31" s="7" t="s">
        <v>174</v>
      </c>
      <c r="Q31" s="7" t="s">
        <v>175</v>
      </c>
      <c r="R31" s="7" t="s">
        <v>176</v>
      </c>
    </row>
    <row r="32" customFormat="false" ht="64.5" hidden="false" customHeight="true" outlineLevel="0" collapsed="false">
      <c r="A32" s="6" t="n">
        <v>25</v>
      </c>
      <c r="B32" s="7" t="s">
        <v>155</v>
      </c>
      <c r="C32" s="7" t="s">
        <v>177</v>
      </c>
      <c r="D32" s="7" t="s">
        <v>178</v>
      </c>
      <c r="E32" s="8" t="n">
        <v>1</v>
      </c>
      <c r="F32" s="6" t="s">
        <v>155</v>
      </c>
      <c r="G32" s="6" t="s">
        <v>26</v>
      </c>
      <c r="H32" s="9" t="n">
        <v>32.95</v>
      </c>
      <c r="I32" s="10" t="n">
        <f aca="false">IF(H32="","",E32*H32)</f>
        <v>32.95</v>
      </c>
      <c r="J32" s="7" t="s">
        <v>179</v>
      </c>
      <c r="K32" s="11" t="s">
        <v>13</v>
      </c>
      <c r="L32" s="7" t="s">
        <v>180</v>
      </c>
      <c r="M32" s="7" t="s">
        <v>181</v>
      </c>
      <c r="N32" s="12"/>
      <c r="O32" s="12"/>
      <c r="P32" s="7" t="s">
        <v>182</v>
      </c>
      <c r="Q32" s="7" t="s">
        <v>183</v>
      </c>
      <c r="R32" s="7" t="s">
        <v>184</v>
      </c>
    </row>
    <row r="33" customFormat="false" ht="78" hidden="false" customHeight="true" outlineLevel="0" collapsed="false">
      <c r="A33" s="6" t="n">
        <v>26</v>
      </c>
      <c r="B33" s="7" t="s">
        <v>155</v>
      </c>
      <c r="C33" s="7" t="s">
        <v>185</v>
      </c>
      <c r="D33" s="7" t="s">
        <v>186</v>
      </c>
      <c r="E33" s="8" t="n">
        <v>0</v>
      </c>
      <c r="F33" s="6" t="s">
        <v>155</v>
      </c>
      <c r="G33" s="6" t="s">
        <v>75</v>
      </c>
      <c r="H33" s="9" t="n">
        <v>5.24</v>
      </c>
      <c r="I33" s="10" t="n">
        <f aca="false">IF(H33="","",E33*H33)</f>
        <v>0</v>
      </c>
      <c r="J33" s="7" t="s">
        <v>187</v>
      </c>
      <c r="K33" s="11" t="s">
        <v>13</v>
      </c>
      <c r="L33" s="7" t="s">
        <v>188</v>
      </c>
      <c r="M33" s="7" t="s">
        <v>189</v>
      </c>
      <c r="N33" s="12"/>
      <c r="O33" s="12"/>
      <c r="P33" s="7" t="s">
        <v>190</v>
      </c>
      <c r="Q33" s="7" t="s">
        <v>191</v>
      </c>
      <c r="R33" s="7" t="s">
        <v>192</v>
      </c>
    </row>
    <row r="34" customFormat="false" ht="45" hidden="false" customHeight="true" outlineLevel="0" collapsed="false">
      <c r="A34" s="6" t="n">
        <v>27</v>
      </c>
      <c r="B34" s="7" t="s">
        <v>155</v>
      </c>
      <c r="C34" s="7" t="s">
        <v>193</v>
      </c>
      <c r="D34" s="7" t="s">
        <v>194</v>
      </c>
      <c r="E34" s="8" t="n">
        <v>1</v>
      </c>
      <c r="F34" s="6" t="s">
        <v>155</v>
      </c>
      <c r="G34" s="6" t="s">
        <v>93</v>
      </c>
      <c r="H34" s="9" t="n">
        <v>15</v>
      </c>
      <c r="I34" s="10" t="n">
        <f aca="false">IF(H34="","",E34*H34)</f>
        <v>15</v>
      </c>
      <c r="J34" s="7" t="s">
        <v>195</v>
      </c>
      <c r="K34" s="7"/>
      <c r="L34" s="7" t="s">
        <v>172</v>
      </c>
      <c r="M34" s="7" t="s">
        <v>196</v>
      </c>
      <c r="N34" s="12"/>
      <c r="O34" s="12"/>
      <c r="P34" s="7" t="s">
        <v>197</v>
      </c>
      <c r="Q34" s="7" t="s">
        <v>198</v>
      </c>
      <c r="R34" s="7" t="s">
        <v>199</v>
      </c>
    </row>
    <row r="35" customFormat="false" ht="19.5" hidden="false" customHeight="true" outlineLevel="0" collapsed="false">
      <c r="A35" s="23"/>
      <c r="B35" s="23"/>
      <c r="C35" s="24" t="s">
        <v>200</v>
      </c>
      <c r="D35" s="23"/>
      <c r="E35" s="23"/>
      <c r="F35" s="23"/>
      <c r="G35" s="23"/>
      <c r="H35" s="23"/>
      <c r="I35" s="25" t="n">
        <f aca="false">SUMIFS($I$5:$I$34,$F$5:$F$34,"PCB")</f>
        <v>72.95</v>
      </c>
      <c r="J35" s="23"/>
      <c r="K35" s="23"/>
      <c r="L35" s="23"/>
      <c r="M35" s="23"/>
      <c r="N35" s="23"/>
      <c r="O35" s="23"/>
      <c r="P35" s="23"/>
      <c r="Q35" s="23"/>
      <c r="R35" s="23"/>
    </row>
    <row r="36" customFormat="false" ht="19.5" hidden="false" customHeight="true" outlineLevel="0" collapsed="false">
      <c r="A36" s="5" t="s">
        <v>201</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65</v>
      </c>
      <c r="C37" s="7" t="s">
        <v>202</v>
      </c>
      <c r="D37" s="7" t="s">
        <v>203</v>
      </c>
      <c r="E37" s="8" t="n">
        <v>1</v>
      </c>
      <c r="F37" s="6" t="s">
        <v>204</v>
      </c>
      <c r="G37" s="6" t="s">
        <v>26</v>
      </c>
      <c r="H37" s="9" t="n">
        <v>175</v>
      </c>
      <c r="I37" s="10" t="n">
        <f aca="false">IF(H37="","",E37*H37)</f>
        <v>175</v>
      </c>
      <c r="J37" s="7" t="s">
        <v>205</v>
      </c>
      <c r="K37" s="11" t="s">
        <v>13</v>
      </c>
      <c r="L37" s="7" t="s">
        <v>206</v>
      </c>
      <c r="M37" s="7" t="s">
        <v>207</v>
      </c>
      <c r="N37" s="12"/>
      <c r="O37" s="12"/>
      <c r="P37" s="7" t="s">
        <v>208</v>
      </c>
      <c r="Q37" s="7" t="s">
        <v>209</v>
      </c>
      <c r="R37" s="7" t="s">
        <v>210</v>
      </c>
    </row>
    <row r="38" customFormat="false" ht="45" hidden="false" customHeight="true" outlineLevel="0" collapsed="false">
      <c r="A38" s="6" t="n">
        <v>29</v>
      </c>
      <c r="B38" s="7" t="s">
        <v>65</v>
      </c>
      <c r="C38" s="7" t="s">
        <v>211</v>
      </c>
      <c r="D38" s="7" t="s">
        <v>212</v>
      </c>
      <c r="E38" s="8" t="n">
        <v>1</v>
      </c>
      <c r="F38" s="6" t="s">
        <v>204</v>
      </c>
      <c r="G38" s="6" t="s">
        <v>75</v>
      </c>
      <c r="H38" s="9" t="n">
        <v>12.34</v>
      </c>
      <c r="I38" s="10" t="n">
        <f aca="false">IF(H38="","",E38*H38)</f>
        <v>12.34</v>
      </c>
      <c r="J38" s="7" t="s">
        <v>45</v>
      </c>
      <c r="K38" s="11" t="s">
        <v>13</v>
      </c>
      <c r="L38" s="7" t="s">
        <v>76</v>
      </c>
      <c r="M38" s="7" t="s">
        <v>213</v>
      </c>
      <c r="N38" s="12"/>
      <c r="O38" s="12"/>
      <c r="P38" s="7" t="s">
        <v>214</v>
      </c>
      <c r="Q38" s="7" t="s">
        <v>209</v>
      </c>
      <c r="R38" s="7" t="s">
        <v>215</v>
      </c>
    </row>
    <row r="39" customFormat="false" ht="45" hidden="false" customHeight="true" outlineLevel="0" collapsed="false">
      <c r="A39" s="6" t="n">
        <v>30</v>
      </c>
      <c r="B39" s="7" t="s">
        <v>65</v>
      </c>
      <c r="C39" s="7" t="s">
        <v>216</v>
      </c>
      <c r="D39" s="7" t="s">
        <v>217</v>
      </c>
      <c r="E39" s="8" t="n">
        <v>1</v>
      </c>
      <c r="F39" s="6" t="s">
        <v>204</v>
      </c>
      <c r="G39" s="6" t="s">
        <v>26</v>
      </c>
      <c r="H39" s="9" t="n">
        <v>11.95</v>
      </c>
      <c r="I39" s="10" t="n">
        <f aca="false">IF(H39="","",E39*H39)</f>
        <v>11.95</v>
      </c>
      <c r="J39" s="7" t="s">
        <v>205</v>
      </c>
      <c r="K39" s="11" t="s">
        <v>13</v>
      </c>
      <c r="L39" s="7" t="s">
        <v>218</v>
      </c>
      <c r="M39" s="7" t="s">
        <v>219</v>
      </c>
      <c r="N39" s="12"/>
      <c r="O39" s="12"/>
      <c r="P39" s="7" t="s">
        <v>220</v>
      </c>
      <c r="Q39" s="7" t="s">
        <v>209</v>
      </c>
      <c r="R39" s="7" t="s">
        <v>215</v>
      </c>
    </row>
    <row r="40" customFormat="false" ht="129.75" hidden="false" customHeight="true" outlineLevel="0" collapsed="false">
      <c r="A40" s="6" t="n">
        <v>31</v>
      </c>
      <c r="B40" s="7" t="s">
        <v>65</v>
      </c>
      <c r="C40" s="7" t="s">
        <v>221</v>
      </c>
      <c r="D40" s="7" t="s">
        <v>222</v>
      </c>
      <c r="E40" s="8" t="n">
        <v>0</v>
      </c>
      <c r="F40" s="6" t="s">
        <v>204</v>
      </c>
      <c r="G40" s="6" t="s">
        <v>75</v>
      </c>
      <c r="H40" s="9" t="n">
        <v>135</v>
      </c>
      <c r="I40" s="10" t="n">
        <f aca="false">IF(H40="","",E40*H40)</f>
        <v>0</v>
      </c>
      <c r="J40" s="7" t="s">
        <v>45</v>
      </c>
      <c r="K40" s="11" t="s">
        <v>13</v>
      </c>
      <c r="L40" s="7" t="s">
        <v>223</v>
      </c>
      <c r="M40" s="7" t="s">
        <v>224</v>
      </c>
      <c r="N40" s="12"/>
      <c r="O40" s="12"/>
      <c r="P40" s="7" t="s">
        <v>225</v>
      </c>
      <c r="Q40" s="7" t="s">
        <v>226</v>
      </c>
      <c r="R40" s="7" t="s">
        <v>227</v>
      </c>
    </row>
    <row r="41" customFormat="false" ht="45" hidden="false" customHeight="true" outlineLevel="0" collapsed="false">
      <c r="A41" s="6" t="n">
        <v>32</v>
      </c>
      <c r="B41" s="7" t="s">
        <v>65</v>
      </c>
      <c r="C41" s="7" t="s">
        <v>228</v>
      </c>
      <c r="D41" s="7" t="s">
        <v>229</v>
      </c>
      <c r="E41" s="8" t="n">
        <v>1</v>
      </c>
      <c r="F41" s="6" t="s">
        <v>204</v>
      </c>
      <c r="G41" s="6" t="s">
        <v>158</v>
      </c>
      <c r="H41" s="9"/>
      <c r="I41" s="10" t="str">
        <f aca="false">IF(H41="","",E41*H41)</f>
        <v/>
      </c>
      <c r="J41" s="7" t="s">
        <v>230</v>
      </c>
      <c r="K41" s="7"/>
      <c r="L41" s="7"/>
      <c r="M41" s="7" t="s">
        <v>231</v>
      </c>
      <c r="N41" s="12"/>
      <c r="O41" s="12"/>
      <c r="P41" s="7" t="s">
        <v>232</v>
      </c>
      <c r="Q41" s="7" t="s">
        <v>209</v>
      </c>
      <c r="R41" s="7" t="s">
        <v>233</v>
      </c>
    </row>
    <row r="42" customFormat="false" ht="19.5" hidden="false" customHeight="true" outlineLevel="0" collapsed="false">
      <c r="A42" s="23"/>
      <c r="B42" s="23"/>
      <c r="C42" s="24" t="s">
        <v>234</v>
      </c>
      <c r="D42" s="23"/>
      <c r="E42" s="23"/>
      <c r="F42" s="23"/>
      <c r="G42" s="23"/>
      <c r="H42" s="23"/>
      <c r="I42" s="25" t="n">
        <f aca="false">SUMIFS($I$5:$I$41,$F$5:$F$41,"P2")</f>
        <v>199.29</v>
      </c>
      <c r="J42" s="23"/>
      <c r="K42" s="23"/>
      <c r="L42" s="23"/>
      <c r="M42" s="23"/>
      <c r="N42" s="23"/>
      <c r="O42" s="23"/>
      <c r="P42" s="23"/>
      <c r="Q42" s="23"/>
      <c r="R42" s="23"/>
    </row>
    <row r="43" customFormat="false" ht="19.5" hidden="false" customHeight="true" outlineLevel="0" collapsed="false">
      <c r="A43" s="5" t="s">
        <v>235</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72</v>
      </c>
      <c r="C44" s="7" t="s">
        <v>236</v>
      </c>
      <c r="D44" s="7" t="s">
        <v>237</v>
      </c>
      <c r="E44" s="8" t="n">
        <v>0</v>
      </c>
      <c r="F44" s="6" t="s">
        <v>238</v>
      </c>
      <c r="G44" s="6" t="s">
        <v>75</v>
      </c>
      <c r="H44" s="9" t="n">
        <v>6.99</v>
      </c>
      <c r="I44" s="10" t="n">
        <f aca="false">IF(H44="","",E44*H44)</f>
        <v>0</v>
      </c>
      <c r="J44" s="7" t="s">
        <v>239</v>
      </c>
      <c r="K44" s="11" t="s">
        <v>13</v>
      </c>
      <c r="L44" s="7" t="s">
        <v>240</v>
      </c>
      <c r="M44" s="7" t="s">
        <v>241</v>
      </c>
      <c r="N44" s="12"/>
      <c r="O44" s="12"/>
      <c r="P44" s="7" t="s">
        <v>242</v>
      </c>
      <c r="Q44" s="7" t="s">
        <v>243</v>
      </c>
      <c r="R44" s="7" t="s">
        <v>244</v>
      </c>
    </row>
    <row r="45" customFormat="false" ht="45" hidden="false" customHeight="true" outlineLevel="0" collapsed="false">
      <c r="A45" s="6" t="n">
        <v>34</v>
      </c>
      <c r="B45" s="7" t="s">
        <v>72</v>
      </c>
      <c r="C45" s="7" t="s">
        <v>245</v>
      </c>
      <c r="D45" s="7" t="s">
        <v>246</v>
      </c>
      <c r="E45" s="8" t="n">
        <v>0</v>
      </c>
      <c r="F45" s="6" t="s">
        <v>238</v>
      </c>
      <c r="G45" s="6" t="s">
        <v>26</v>
      </c>
      <c r="H45" s="9" t="n">
        <v>8.95</v>
      </c>
      <c r="I45" s="10" t="n">
        <f aca="false">IF(H45="","",E45*H45)</f>
        <v>0</v>
      </c>
      <c r="J45" s="7" t="s">
        <v>179</v>
      </c>
      <c r="K45" s="11" t="s">
        <v>13</v>
      </c>
      <c r="L45" s="7" t="s">
        <v>247</v>
      </c>
      <c r="M45" s="7" t="s">
        <v>248</v>
      </c>
      <c r="N45" s="12"/>
      <c r="O45" s="12"/>
      <c r="P45" s="7" t="s">
        <v>249</v>
      </c>
      <c r="Q45" s="7" t="s">
        <v>243</v>
      </c>
      <c r="R45" s="7" t="s">
        <v>244</v>
      </c>
    </row>
    <row r="46" customFormat="false" ht="45" hidden="false" customHeight="true" outlineLevel="0" collapsed="false">
      <c r="A46" s="6" t="n">
        <v>35</v>
      </c>
      <c r="B46" s="7" t="s">
        <v>72</v>
      </c>
      <c r="C46" s="7" t="s">
        <v>250</v>
      </c>
      <c r="D46" s="7" t="s">
        <v>251</v>
      </c>
      <c r="E46" s="8" t="n">
        <v>0</v>
      </c>
      <c r="F46" s="6" t="s">
        <v>238</v>
      </c>
      <c r="G46" s="6" t="s">
        <v>158</v>
      </c>
      <c r="H46" s="9" t="n">
        <v>42</v>
      </c>
      <c r="I46" s="10" t="n">
        <f aca="false">IF(H46="","",E46*H46)</f>
        <v>0</v>
      </c>
      <c r="J46" s="7" t="s">
        <v>252</v>
      </c>
      <c r="K46" s="7"/>
      <c r="L46" s="7"/>
      <c r="M46" s="7" t="s">
        <v>253</v>
      </c>
      <c r="N46" s="12"/>
      <c r="O46" s="12"/>
      <c r="P46" s="7" t="s">
        <v>254</v>
      </c>
      <c r="Q46" s="7" t="s">
        <v>243</v>
      </c>
      <c r="R46" s="7" t="s">
        <v>255</v>
      </c>
    </row>
    <row r="47" customFormat="false" ht="45" hidden="false" customHeight="true" outlineLevel="0" collapsed="false">
      <c r="A47" s="6" t="n">
        <v>36</v>
      </c>
      <c r="B47" s="7" t="s">
        <v>42</v>
      </c>
      <c r="C47" s="7" t="s">
        <v>256</v>
      </c>
      <c r="D47" s="7" t="s">
        <v>257</v>
      </c>
      <c r="E47" s="8" t="n">
        <v>0</v>
      </c>
      <c r="F47" s="6" t="s">
        <v>258</v>
      </c>
      <c r="G47" s="6" t="s">
        <v>26</v>
      </c>
      <c r="H47" s="9" t="n">
        <v>14.99</v>
      </c>
      <c r="I47" s="10" t="n">
        <f aca="false">IF(H47="","",E47*H47)</f>
        <v>0</v>
      </c>
      <c r="J47" s="7" t="s">
        <v>45</v>
      </c>
      <c r="K47" s="11" t="s">
        <v>13</v>
      </c>
      <c r="L47" s="7" t="s">
        <v>259</v>
      </c>
      <c r="M47" s="7" t="s">
        <v>260</v>
      </c>
      <c r="N47" s="12"/>
      <c r="O47" s="12"/>
      <c r="P47" s="7" t="s">
        <v>261</v>
      </c>
      <c r="Q47" s="7" t="s">
        <v>37</v>
      </c>
      <c r="R47" s="7" t="s">
        <v>37</v>
      </c>
    </row>
    <row r="48" customFormat="false" ht="64.5" hidden="false" customHeight="true" outlineLevel="0" collapsed="false">
      <c r="A48" s="6" t="n">
        <v>37</v>
      </c>
      <c r="B48" s="7" t="s">
        <v>42</v>
      </c>
      <c r="C48" s="7" t="s">
        <v>262</v>
      </c>
      <c r="D48" s="7" t="s">
        <v>263</v>
      </c>
      <c r="E48" s="8" t="n">
        <v>0</v>
      </c>
      <c r="F48" s="6" t="s">
        <v>258</v>
      </c>
      <c r="G48" s="6" t="s">
        <v>75</v>
      </c>
      <c r="H48" s="9" t="n">
        <v>9.99</v>
      </c>
      <c r="I48" s="10" t="n">
        <f aca="false">IF(H48="","",E48*H48)</f>
        <v>0</v>
      </c>
      <c r="J48" s="7" t="s">
        <v>45</v>
      </c>
      <c r="K48" s="11" t="s">
        <v>13</v>
      </c>
      <c r="L48" s="7" t="s">
        <v>264</v>
      </c>
      <c r="M48" s="7" t="s">
        <v>260</v>
      </c>
      <c r="N48" s="12"/>
      <c r="O48" s="12"/>
      <c r="P48" s="7" t="s">
        <v>265</v>
      </c>
      <c r="Q48" s="7" t="s">
        <v>37</v>
      </c>
      <c r="R48" s="7" t="s">
        <v>37</v>
      </c>
    </row>
    <row r="49" customFormat="false" ht="19.5" hidden="false" customHeight="true" outlineLevel="0" collapsed="false">
      <c r="A49" s="5" t="s">
        <v>266</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267</v>
      </c>
      <c r="C50" s="7" t="s">
        <v>268</v>
      </c>
      <c r="D50" s="7" t="s">
        <v>269</v>
      </c>
      <c r="E50" s="8" t="n">
        <v>1</v>
      </c>
      <c r="F50" s="6" t="s">
        <v>270</v>
      </c>
      <c r="G50" s="6" t="s">
        <v>93</v>
      </c>
      <c r="H50" s="9" t="n">
        <v>50</v>
      </c>
      <c r="I50" s="10" t="n">
        <f aca="false">IF(H50="","",E50*H50)</f>
        <v>50</v>
      </c>
      <c r="J50" s="7" t="s">
        <v>37</v>
      </c>
      <c r="K50" s="7"/>
      <c r="L50" s="7" t="s">
        <v>37</v>
      </c>
      <c r="M50" s="7" t="s">
        <v>271</v>
      </c>
      <c r="N50" s="12"/>
      <c r="O50" s="12"/>
      <c r="P50" s="7" t="s">
        <v>272</v>
      </c>
      <c r="Q50" s="7" t="s">
        <v>37</v>
      </c>
      <c r="R50" s="7" t="s">
        <v>37</v>
      </c>
    </row>
    <row r="51" customFormat="false" ht="45" hidden="false" customHeight="true" outlineLevel="0" collapsed="false">
      <c r="A51" s="6" t="n">
        <v>39</v>
      </c>
      <c r="B51" s="7" t="s">
        <v>267</v>
      </c>
      <c r="C51" s="7" t="s">
        <v>273</v>
      </c>
      <c r="D51" s="7" t="s">
        <v>274</v>
      </c>
      <c r="E51" s="8" t="n">
        <v>1</v>
      </c>
      <c r="F51" s="6" t="s">
        <v>270</v>
      </c>
      <c r="G51" s="6" t="s">
        <v>93</v>
      </c>
      <c r="H51" s="9" t="n">
        <v>30</v>
      </c>
      <c r="I51" s="10" t="n">
        <f aca="false">IF(H51="","",E51*H51)</f>
        <v>30</v>
      </c>
      <c r="J51" s="7" t="s">
        <v>37</v>
      </c>
      <c r="K51" s="7"/>
      <c r="L51" s="7" t="s">
        <v>37</v>
      </c>
      <c r="M51" s="7" t="s">
        <v>275</v>
      </c>
      <c r="N51" s="12"/>
      <c r="O51" s="12"/>
      <c r="P51" s="7" t="s">
        <v>276</v>
      </c>
      <c r="Q51" s="7" t="s">
        <v>37</v>
      </c>
      <c r="R51" s="7" t="s">
        <v>37</v>
      </c>
    </row>
    <row r="52" customFormat="false" ht="19.5" hidden="false" customHeight="true" outlineLevel="0" collapsed="false">
      <c r="A52" s="23"/>
      <c r="B52" s="23"/>
      <c r="C52" s="24" t="s">
        <v>277</v>
      </c>
      <c r="D52" s="23"/>
      <c r="E52" s="23"/>
      <c r="F52" s="23"/>
      <c r="G52" s="23"/>
      <c r="H52" s="23"/>
      <c r="I52" s="25" t="n">
        <f aca="false">SUMIFS($I$5:$I$51,$F$5:$F$51,"SHIP")</f>
        <v>80</v>
      </c>
      <c r="J52" s="23"/>
      <c r="K52" s="23"/>
      <c r="L52" s="23"/>
      <c r="M52" s="23"/>
      <c r="N52" s="23"/>
      <c r="O52" s="23"/>
      <c r="P52" s="23"/>
      <c r="Q52" s="23"/>
      <c r="R52" s="23"/>
    </row>
    <row r="53" customFormat="false" ht="24" hidden="false" customHeight="true" outlineLevel="0" collapsed="false">
      <c r="A53" s="26"/>
      <c r="B53" s="26"/>
      <c r="C53" s="27" t="s">
        <v>278</v>
      </c>
      <c r="D53" s="26"/>
      <c r="E53" s="26"/>
      <c r="F53" s="26"/>
      <c r="G53" s="26"/>
      <c r="H53" s="26"/>
      <c r="I53" s="28" t="n">
        <f aca="false">I27+I35+I42+I52</f>
        <v>506.94</v>
      </c>
      <c r="J53" s="26"/>
      <c r="K53" s="26"/>
      <c r="L53" s="26"/>
      <c r="M53" s="26"/>
      <c r="N53" s="26"/>
      <c r="O53" s="26"/>
      <c r="P53" s="26"/>
      <c r="Q53" s="26"/>
      <c r="R53" s="26"/>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279</v>
      </c>
    </row>
    <row r="3" customFormat="false" ht="15" hidden="false" customHeight="false" outlineLevel="0" collapsed="false">
      <c r="A3" s="0" t="s">
        <v>280</v>
      </c>
      <c r="B3" s="29" t="n">
        <v>380</v>
      </c>
      <c r="C3" s="30" t="s">
        <v>281</v>
      </c>
    </row>
    <row r="5" customFormat="false" ht="15" hidden="false" customHeight="false" outlineLevel="0" collapsed="false">
      <c r="A5" s="31" t="s">
        <v>282</v>
      </c>
      <c r="B5" s="32" t="n">
        <f aca="false">SUMIFS(BOM!$I$5:$I$53,BOM!$F$5:$F$53,"P1")</f>
        <v>154.7</v>
      </c>
      <c r="C5" s="31" t="s">
        <v>283</v>
      </c>
    </row>
    <row r="6" customFormat="false" ht="15" hidden="false" customHeight="false" outlineLevel="0" collapsed="false">
      <c r="A6" s="31" t="s">
        <v>284</v>
      </c>
      <c r="B6" s="32" t="n">
        <f aca="false">SUMIFS(BOM!$I$5:$I$53,BOM!$F$5:$F$53,"PCB")</f>
        <v>72.95</v>
      </c>
      <c r="C6" s="31" t="s">
        <v>285</v>
      </c>
    </row>
    <row r="7" customFormat="false" ht="15" hidden="false" customHeight="false" outlineLevel="0" collapsed="false">
      <c r="A7" s="31" t="s">
        <v>286</v>
      </c>
      <c r="B7" s="32" t="n">
        <f aca="false">SUMIFS(BOM!$I$5:$I$53,BOM!$F$5:$F$53,"P2")</f>
        <v>199.29</v>
      </c>
      <c r="C7" s="31" t="s">
        <v>287</v>
      </c>
    </row>
    <row r="8" customFormat="false" ht="15" hidden="false" customHeight="false" outlineLevel="0" collapsed="false">
      <c r="A8" s="31" t="s">
        <v>288</v>
      </c>
      <c r="B8" s="32" t="n">
        <f aca="false">SUMIFS(BOM!$I$5:$I$53,BOM!$F$5:$F$53,"SHIP")</f>
        <v>80</v>
      </c>
      <c r="C8" s="31" t="s">
        <v>289</v>
      </c>
    </row>
    <row r="9" customFormat="false" ht="15" hidden="false" customHeight="false" outlineLevel="0" collapsed="false">
      <c r="A9" s="31" t="s">
        <v>290</v>
      </c>
      <c r="B9" s="32" t="n">
        <f aca="false">SUMIFS(BOM!$I$5:$I$53,BOM!$F$5:$F$53,"P3")</f>
        <v>0</v>
      </c>
      <c r="C9" s="31" t="s">
        <v>291</v>
      </c>
    </row>
    <row r="10" customFormat="false" ht="15" hidden="false" customHeight="false" outlineLevel="0" collapsed="false">
      <c r="A10" s="33" t="s">
        <v>292</v>
      </c>
      <c r="B10" s="34" t="n">
        <f aca="false">SUM(B5:B9)</f>
        <v>506.94</v>
      </c>
    </row>
    <row r="11" customFormat="false" ht="15" hidden="false" customHeight="false" outlineLevel="0" collapsed="false">
      <c r="A11" s="33" t="s">
        <v>293</v>
      </c>
      <c r="B11" s="35" t="n">
        <f aca="false">B3-B10</f>
        <v>-126.94</v>
      </c>
      <c r="C11" s="30" t="s">
        <v>294</v>
      </c>
    </row>
    <row r="13" customFormat="false" ht="15" hidden="false" customHeight="false" outlineLevel="0" collapsed="false">
      <c r="A13" s="31" t="s">
        <v>295</v>
      </c>
      <c r="B13" s="32" t="n">
        <f aca="false">SUMIFS(BOM!$H$5:$H$53,BOM!$F$5:$F$53,"P3")</f>
        <v>57.94</v>
      </c>
      <c r="C13" s="30" t="s">
        <v>296</v>
      </c>
    </row>
    <row r="14" customFormat="false" ht="15" hidden="false" customHeight="false" outlineLevel="0" collapsed="false">
      <c r="A14" s="31" t="s">
        <v>221</v>
      </c>
      <c r="B14" s="32" t="n">
        <f aca="false">SUMIFS(BOM!$H$5:$H$53,BOM!$C$5:$C$53,"*Coral*")</f>
        <v>135</v>
      </c>
      <c r="C14" s="30" t="s">
        <v>297</v>
      </c>
    </row>
    <row r="16" customFormat="false" ht="15" hidden="false" customHeight="false" outlineLevel="0" collapsed="false">
      <c r="A16" s="33" t="s">
        <v>298</v>
      </c>
      <c r="B16" s="34" t="n">
        <f aca="false">B10</f>
        <v>506.94</v>
      </c>
      <c r="C16" s="30" t="s">
        <v>299</v>
      </c>
    </row>
    <row r="17" customFormat="false" ht="15" hidden="false" customHeight="false" outlineLevel="0" collapsed="false">
      <c r="A17" s="33" t="s">
        <v>300</v>
      </c>
      <c r="B17" s="34" t="n">
        <f aca="false">B10+B13+B14</f>
        <v>699.88</v>
      </c>
      <c r="C17" s="30" t="s">
        <v>301</v>
      </c>
    </row>
    <row r="19" customFormat="false" ht="15" hidden="false" customHeight="false" outlineLevel="0" collapsed="false">
      <c r="A19" s="31" t="s">
        <v>302</v>
      </c>
      <c r="B19" s="31" t="n">
        <f aca="false">COUNTIFS(BOM!$E$5:$E$53,"&gt;0",BOM!$G$5:$G$53,"Estimate")+COUNTIFS(BOM!$E$5:$E$53,"&gt;0",BOM!$H$5:$H$53,"")</f>
        <v>8</v>
      </c>
      <c r="C19" s="30" t="s">
        <v>303</v>
      </c>
    </row>
    <row r="20" customFormat="false" ht="15" hidden="false" customHeight="false" outlineLevel="0" collapsed="false">
      <c r="A20" s="31" t="s">
        <v>304</v>
      </c>
      <c r="B20" s="31" t="n">
        <f aca="false">COUNTIFS(BOM!$E$5:$E$53,"&gt;0",BOM!$G$5:$G$53,"Verified")</f>
        <v>7</v>
      </c>
      <c r="C20" s="30" t="s">
        <v>305</v>
      </c>
    </row>
    <row r="22" customFormat="false" ht="15" hidden="false" customHeight="false" outlineLevel="0" collapsed="false">
      <c r="A22" s="33" t="s">
        <v>306</v>
      </c>
    </row>
    <row r="23" customFormat="false" ht="15" hidden="false" customHeight="false" outlineLevel="0" collapsed="false">
      <c r="A23" s="31" t="s">
        <v>307</v>
      </c>
    </row>
    <row r="24" customFormat="false" ht="15" hidden="false" customHeight="false" outlineLevel="0" collapsed="false">
      <c r="A24" s="31" t="s">
        <v>308</v>
      </c>
    </row>
    <row r="25" customFormat="false" ht="15" hidden="false" customHeight="false" outlineLevel="0" collapsed="false">
      <c r="A25" s="31" t="s">
        <v>309</v>
      </c>
    </row>
    <row r="26" customFormat="false" ht="15" hidden="false" customHeight="false" outlineLevel="0" collapsed="false">
      <c r="A26" s="31"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3" t="s">
        <v>9</v>
      </c>
      <c r="B1" s="31"/>
    </row>
    <row r="2" customFormat="false" ht="15" hidden="false" customHeight="false" outlineLevel="0" collapsed="false">
      <c r="A2" s="33" t="s">
        <v>26</v>
      </c>
      <c r="B2" s="31" t="s">
        <v>311</v>
      </c>
    </row>
    <row r="3" customFormat="false" ht="15" hidden="false" customHeight="false" outlineLevel="0" collapsed="false">
      <c r="A3" s="33" t="s">
        <v>75</v>
      </c>
      <c r="B3" s="31" t="s">
        <v>312</v>
      </c>
    </row>
    <row r="4" customFormat="false" ht="15" hidden="false" customHeight="false" outlineLevel="0" collapsed="false">
      <c r="A4" s="33" t="s">
        <v>93</v>
      </c>
      <c r="B4" s="31" t="s">
        <v>313</v>
      </c>
    </row>
    <row r="5" customFormat="false" ht="15" hidden="false" customHeight="false" outlineLevel="0" collapsed="false">
      <c r="A5" s="33" t="s">
        <v>314</v>
      </c>
      <c r="B5" s="31" t="s">
        <v>315</v>
      </c>
    </row>
    <row r="6" customFormat="false" ht="15" hidden="false" customHeight="false" outlineLevel="0" collapsed="false">
      <c r="A6" s="33" t="s">
        <v>316</v>
      </c>
      <c r="B6" s="31" t="s">
        <v>317</v>
      </c>
    </row>
    <row r="7" customFormat="false" ht="15" hidden="false" customHeight="false" outlineLevel="0" collapsed="false">
      <c r="A7" s="33" t="s">
        <v>318</v>
      </c>
      <c r="B7" s="31" t="s">
        <v>319</v>
      </c>
    </row>
    <row r="8" customFormat="false" ht="15" hidden="false" customHeight="false" outlineLevel="0" collapsed="false">
      <c r="A8" s="33" t="s">
        <v>320</v>
      </c>
      <c r="B8" s="31" t="s">
        <v>321</v>
      </c>
    </row>
    <row r="9" customFormat="false" ht="15" hidden="false" customHeight="false" outlineLevel="0" collapsed="false">
      <c r="A9" s="33" t="s">
        <v>322</v>
      </c>
      <c r="B9" s="31" t="s">
        <v>323</v>
      </c>
    </row>
    <row r="10" customFormat="false" ht="15" hidden="false" customHeight="false" outlineLevel="0" collapsed="false">
      <c r="A10" s="33" t="s">
        <v>324</v>
      </c>
      <c r="B10" s="31" t="s">
        <v>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5" t="s">
        <v>328</v>
      </c>
      <c r="B4" s="5"/>
      <c r="C4" s="5"/>
      <c r="D4" s="5"/>
      <c r="E4" s="5"/>
      <c r="F4" s="5"/>
      <c r="G4" s="5"/>
      <c r="H4" s="5"/>
    </row>
    <row r="5" customFormat="false" ht="15" hidden="false" customHeight="false" outlineLevel="0" collapsed="false">
      <c r="A5" s="4" t="s">
        <v>329</v>
      </c>
      <c r="B5" s="4" t="s">
        <v>330</v>
      </c>
      <c r="C5" s="4" t="s">
        <v>7</v>
      </c>
      <c r="D5" s="4" t="s">
        <v>331</v>
      </c>
      <c r="E5" s="4" t="s">
        <v>332</v>
      </c>
      <c r="F5" s="4" t="s">
        <v>12</v>
      </c>
      <c r="G5" s="4" t="s">
        <v>13</v>
      </c>
      <c r="H5" s="4" t="s">
        <v>333</v>
      </c>
    </row>
    <row r="6" customFormat="false" ht="31.5" hidden="false" customHeight="true" outlineLevel="0" collapsed="false">
      <c r="A6" s="6" t="s">
        <v>334</v>
      </c>
      <c r="B6" s="7" t="s">
        <v>335</v>
      </c>
      <c r="C6" s="8" t="n">
        <v>2</v>
      </c>
      <c r="D6" s="36" t="n">
        <v>39.99</v>
      </c>
      <c r="E6" s="37" t="n">
        <f aca="false">C6*D6</f>
        <v>79.98</v>
      </c>
      <c r="F6" s="7" t="s">
        <v>45</v>
      </c>
      <c r="G6" s="11" t="s">
        <v>13</v>
      </c>
      <c r="H6" s="7" t="s">
        <v>336</v>
      </c>
    </row>
    <row r="7" customFormat="false" ht="31.5" hidden="false" customHeight="true" outlineLevel="0" collapsed="false">
      <c r="A7" s="6" t="s">
        <v>334</v>
      </c>
      <c r="B7" s="7" t="s">
        <v>337</v>
      </c>
      <c r="C7" s="8" t="n">
        <v>1</v>
      </c>
      <c r="D7" s="36" t="n">
        <v>19.99</v>
      </c>
      <c r="E7" s="37" t="n">
        <f aca="false">C7*D7</f>
        <v>19.99</v>
      </c>
      <c r="F7" s="7" t="s">
        <v>45</v>
      </c>
      <c r="G7" s="11" t="s">
        <v>13</v>
      </c>
      <c r="H7" s="7" t="s">
        <v>338</v>
      </c>
    </row>
    <row r="8" customFormat="false" ht="31.5" hidden="false" customHeight="true" outlineLevel="0" collapsed="false">
      <c r="A8" s="6" t="s">
        <v>334</v>
      </c>
      <c r="B8" s="7" t="s">
        <v>339</v>
      </c>
      <c r="C8" s="8" t="n">
        <v>1</v>
      </c>
      <c r="D8" s="36" t="n">
        <v>7.61</v>
      </c>
      <c r="E8" s="37" t="n">
        <f aca="false">C8*D8</f>
        <v>7.61</v>
      </c>
      <c r="F8" s="7" t="s">
        <v>54</v>
      </c>
      <c r="G8" s="11" t="s">
        <v>13</v>
      </c>
      <c r="H8" s="7" t="s">
        <v>340</v>
      </c>
    </row>
    <row r="9" customFormat="false" ht="31.5" hidden="false" customHeight="true" outlineLevel="0" collapsed="false">
      <c r="A9" s="6" t="s">
        <v>334</v>
      </c>
      <c r="B9" s="7" t="s">
        <v>341</v>
      </c>
      <c r="C9" s="8" t="n">
        <v>1</v>
      </c>
      <c r="D9" s="36" t="n">
        <v>5</v>
      </c>
      <c r="E9" s="37" t="n">
        <f aca="false">C9*D9</f>
        <v>5</v>
      </c>
      <c r="F9" s="7" t="s">
        <v>94</v>
      </c>
      <c r="G9" s="11" t="s">
        <v>13</v>
      </c>
      <c r="H9" s="7" t="s">
        <v>342</v>
      </c>
    </row>
    <row r="10" customFormat="false" ht="31.5" hidden="false" customHeight="true" outlineLevel="0" collapsed="false">
      <c r="A10" s="6" t="s">
        <v>334</v>
      </c>
      <c r="B10" s="7" t="s">
        <v>343</v>
      </c>
      <c r="C10" s="8" t="n">
        <v>1</v>
      </c>
      <c r="D10" s="36" t="n">
        <v>6</v>
      </c>
      <c r="E10" s="37" t="n">
        <f aca="false">C10*D10</f>
        <v>6</v>
      </c>
      <c r="F10" s="7" t="s">
        <v>94</v>
      </c>
      <c r="G10" s="11" t="s">
        <v>13</v>
      </c>
      <c r="H10" s="7" t="s">
        <v>344</v>
      </c>
    </row>
    <row r="11" customFormat="false" ht="15" hidden="false" customHeight="false" outlineLevel="0" collapsed="false">
      <c r="A11" s="23"/>
      <c r="B11" s="24" t="s">
        <v>345</v>
      </c>
      <c r="C11" s="23"/>
      <c r="D11" s="23"/>
      <c r="E11" s="25" t="n">
        <f aca="false">SUM(E6:E10)</f>
        <v>118.58</v>
      </c>
      <c r="F11" s="23"/>
      <c r="G11" s="23"/>
      <c r="H11" s="23"/>
    </row>
    <row r="13" customFormat="false" ht="15" hidden="false" customHeight="false" outlineLevel="0" collapsed="false">
      <c r="A13" s="5" t="s">
        <v>346</v>
      </c>
      <c r="B13" s="5"/>
      <c r="C13" s="5"/>
      <c r="D13" s="5"/>
      <c r="E13" s="5"/>
      <c r="F13" s="5"/>
      <c r="G13" s="5"/>
      <c r="H13" s="5"/>
    </row>
    <row r="14" customFormat="false" ht="15" hidden="false" customHeight="false" outlineLevel="0" collapsed="false">
      <c r="A14" s="4" t="s">
        <v>329</v>
      </c>
      <c r="B14" s="4" t="s">
        <v>330</v>
      </c>
      <c r="C14" s="4" t="s">
        <v>7</v>
      </c>
      <c r="D14" s="4" t="s">
        <v>331</v>
      </c>
      <c r="E14" s="4" t="s">
        <v>332</v>
      </c>
      <c r="F14" s="4" t="s">
        <v>12</v>
      </c>
      <c r="G14" s="4" t="s">
        <v>13</v>
      </c>
      <c r="H14" s="4" t="s">
        <v>333</v>
      </c>
    </row>
    <row r="15" customFormat="false" ht="31.5" hidden="false" customHeight="true" outlineLevel="0" collapsed="false">
      <c r="A15" s="6" t="s">
        <v>334</v>
      </c>
      <c r="B15" s="7" t="s">
        <v>347</v>
      </c>
      <c r="C15" s="8" t="n">
        <v>1</v>
      </c>
      <c r="D15" s="36" t="n">
        <v>20.13</v>
      </c>
      <c r="E15" s="37" t="n">
        <f aca="false">C15*D15</f>
        <v>20.13</v>
      </c>
      <c r="F15" s="7" t="s">
        <v>27</v>
      </c>
      <c r="G15" s="11" t="s">
        <v>13</v>
      </c>
      <c r="H15" s="7" t="s">
        <v>348</v>
      </c>
    </row>
    <row r="16" customFormat="false" ht="31.5" hidden="false" customHeight="true" outlineLevel="0" collapsed="false">
      <c r="A16" s="6" t="s">
        <v>334</v>
      </c>
      <c r="B16" s="7" t="s">
        <v>349</v>
      </c>
      <c r="C16" s="8" t="n">
        <v>1</v>
      </c>
      <c r="D16" s="36" t="n">
        <v>0.99</v>
      </c>
      <c r="E16" s="37" t="n">
        <f aca="false">C16*D16</f>
        <v>0.99</v>
      </c>
      <c r="F16" s="7" t="s">
        <v>27</v>
      </c>
      <c r="G16" s="11" t="s">
        <v>13</v>
      </c>
      <c r="H16" s="7" t="s">
        <v>350</v>
      </c>
    </row>
    <row r="17" customFormat="false" ht="15" hidden="false" customHeight="false" outlineLevel="0" collapsed="false">
      <c r="A17" s="23"/>
      <c r="B17" s="24" t="s">
        <v>351</v>
      </c>
      <c r="C17" s="23"/>
      <c r="D17" s="23"/>
      <c r="E17" s="25" t="n">
        <f aca="false">SUM(E15:E16)</f>
        <v>21.12</v>
      </c>
      <c r="F17" s="23"/>
      <c r="G17" s="23"/>
      <c r="H17" s="23"/>
    </row>
    <row r="19" customFormat="false" ht="15" hidden="false" customHeight="false" outlineLevel="0" collapsed="false">
      <c r="A19" s="5" t="s">
        <v>352</v>
      </c>
      <c r="B19" s="5"/>
      <c r="C19" s="5"/>
      <c r="D19" s="5"/>
      <c r="E19" s="5"/>
      <c r="F19" s="5"/>
      <c r="G19" s="5"/>
      <c r="H19" s="5"/>
    </row>
    <row r="20" customFormat="false" ht="15" hidden="false" customHeight="false" outlineLevel="0" collapsed="false">
      <c r="A20" s="4" t="s">
        <v>329</v>
      </c>
      <c r="B20" s="4" t="s">
        <v>330</v>
      </c>
      <c r="C20" s="4" t="s">
        <v>7</v>
      </c>
      <c r="D20" s="4" t="s">
        <v>331</v>
      </c>
      <c r="E20" s="4" t="s">
        <v>332</v>
      </c>
      <c r="F20" s="4" t="s">
        <v>12</v>
      </c>
      <c r="G20" s="4" t="s">
        <v>13</v>
      </c>
      <c r="H20" s="4" t="s">
        <v>333</v>
      </c>
    </row>
    <row r="21" customFormat="false" ht="31.5" hidden="false" customHeight="true" outlineLevel="0" collapsed="false">
      <c r="A21" s="6" t="s">
        <v>334</v>
      </c>
      <c r="B21" s="7" t="s">
        <v>353</v>
      </c>
      <c r="C21" s="8" t="n">
        <v>1</v>
      </c>
      <c r="D21" s="36" t="n">
        <v>15</v>
      </c>
      <c r="E21" s="37" t="n">
        <f aca="false">C21*D21</f>
        <v>15</v>
      </c>
      <c r="F21" s="7" t="s">
        <v>142</v>
      </c>
      <c r="G21" s="7"/>
      <c r="H21" s="7" t="s">
        <v>354</v>
      </c>
    </row>
    <row r="22" customFormat="false" ht="31.5" hidden="false" customHeight="true" outlineLevel="0" collapsed="false">
      <c r="A22" s="6" t="s">
        <v>334</v>
      </c>
      <c r="B22" s="7" t="s">
        <v>355</v>
      </c>
      <c r="C22" s="8" t="n">
        <v>1</v>
      </c>
      <c r="D22" s="36" t="n">
        <v>11.99</v>
      </c>
      <c r="E22" s="37" t="n">
        <f aca="false">C22*D22</f>
        <v>11.99</v>
      </c>
      <c r="F22" s="7" t="s">
        <v>45</v>
      </c>
      <c r="G22" s="11" t="s">
        <v>13</v>
      </c>
      <c r="H22" s="7" t="s">
        <v>356</v>
      </c>
    </row>
    <row r="23" customFormat="false" ht="15" hidden="false" customHeight="false" outlineLevel="0" collapsed="false">
      <c r="A23" s="23"/>
      <c r="B23" s="24" t="s">
        <v>357</v>
      </c>
      <c r="C23" s="23"/>
      <c r="D23" s="23"/>
      <c r="E23" s="25" t="n">
        <f aca="false">SUM(E21:E22)</f>
        <v>26.99</v>
      </c>
      <c r="F23" s="23"/>
      <c r="G23" s="23"/>
      <c r="H23" s="23"/>
    </row>
    <row r="25" customFormat="false" ht="15" hidden="false" customHeight="false" outlineLevel="0" collapsed="false">
      <c r="B25" s="2" t="s">
        <v>358</v>
      </c>
    </row>
  </sheetData>
  <mergeCells count="3">
    <mergeCell ref="A4:H4"/>
    <mergeCell ref="A13:H13"/>
    <mergeCell ref="A19:H19"/>
  </mergeCells>
  <hyperlinks>
    <hyperlink ref="G6" r:id="rId1" display="Link"/>
    <hyperlink ref="G7" r:id="rId2" display="Link"/>
    <hyperlink ref="G8" r:id="rId3" display="Link"/>
    <hyperlink ref="G9" r:id="rId4" display="Link"/>
    <hyperlink ref="G10" r:id="rId5" display="Link"/>
    <hyperlink ref="G15" r:id="rId6" display="Link"/>
    <hyperlink ref="G16"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38" t="s">
        <v>359</v>
      </c>
    </row>
    <row r="2" customFormat="false" ht="15" hidden="false" customHeight="false" outlineLevel="0" collapsed="false">
      <c r="A2" s="39" t="s">
        <v>360</v>
      </c>
    </row>
    <row r="3" customFormat="false" ht="15" hidden="false" customHeight="false" outlineLevel="0" collapsed="false">
      <c r="A3" s="40" t="s">
        <v>361</v>
      </c>
    </row>
    <row r="5" customFormat="false" ht="23.85" hidden="false" customHeight="false" outlineLevel="0" collapsed="false">
      <c r="A5" s="4" t="s">
        <v>362</v>
      </c>
      <c r="B5" s="4" t="s">
        <v>330</v>
      </c>
      <c r="C5" s="4" t="s">
        <v>7</v>
      </c>
      <c r="D5" s="4" t="s">
        <v>363</v>
      </c>
      <c r="E5" s="4" t="s">
        <v>333</v>
      </c>
      <c r="F5" s="4" t="s">
        <v>364</v>
      </c>
    </row>
    <row r="6" customFormat="false" ht="31.5" hidden="false" customHeight="true" outlineLevel="0" collapsed="false">
      <c r="A6" s="13" t="s">
        <v>334</v>
      </c>
      <c r="B6" s="14" t="s">
        <v>365</v>
      </c>
      <c r="C6" s="13" t="n">
        <v>1</v>
      </c>
      <c r="D6" s="14" t="s">
        <v>366</v>
      </c>
      <c r="E6" s="14" t="s">
        <v>367</v>
      </c>
      <c r="F6" s="14"/>
    </row>
    <row r="7" customFormat="false" ht="31.5" hidden="false" customHeight="true" outlineLevel="0" collapsed="false">
      <c r="A7" s="13" t="s">
        <v>334</v>
      </c>
      <c r="B7" s="14" t="s">
        <v>368</v>
      </c>
      <c r="C7" s="13" t="n">
        <v>1</v>
      </c>
      <c r="D7" s="14" t="s">
        <v>369</v>
      </c>
      <c r="E7" s="14" t="s">
        <v>370</v>
      </c>
      <c r="F7" s="14"/>
    </row>
    <row r="8" customFormat="false" ht="31.5" hidden="false" customHeight="true" outlineLevel="0" collapsed="false">
      <c r="A8" s="13" t="s">
        <v>334</v>
      </c>
      <c r="B8" s="14" t="s">
        <v>371</v>
      </c>
      <c r="C8" s="13" t="n">
        <v>1</v>
      </c>
      <c r="D8" s="14" t="s">
        <v>372</v>
      </c>
      <c r="E8" s="14"/>
      <c r="F8" s="14"/>
    </row>
    <row r="9" customFormat="false" ht="31.5" hidden="false" customHeight="true" outlineLevel="0" collapsed="false">
      <c r="A9" s="13" t="s">
        <v>334</v>
      </c>
      <c r="B9" s="14" t="s">
        <v>373</v>
      </c>
      <c r="C9" s="13" t="n">
        <v>1</v>
      </c>
      <c r="D9" s="14" t="s">
        <v>374</v>
      </c>
      <c r="E9" s="14"/>
      <c r="F9" s="14"/>
    </row>
    <row r="10" customFormat="false" ht="31.5" hidden="false" customHeight="true" outlineLevel="0" collapsed="false">
      <c r="A10" s="13" t="s">
        <v>334</v>
      </c>
      <c r="B10" s="14" t="s">
        <v>375</v>
      </c>
      <c r="C10" s="13" t="n">
        <v>1</v>
      </c>
      <c r="D10" s="14" t="s">
        <v>376</v>
      </c>
      <c r="E10" s="14" t="s">
        <v>377</v>
      </c>
      <c r="F10" s="14"/>
    </row>
    <row r="11" customFormat="false" ht="31.5" hidden="false" customHeight="true" outlineLevel="0" collapsed="false">
      <c r="A11" s="13" t="s">
        <v>334</v>
      </c>
      <c r="B11" s="14" t="s">
        <v>378</v>
      </c>
      <c r="C11" s="13" t="n">
        <v>2</v>
      </c>
      <c r="D11" s="14" t="s">
        <v>379</v>
      </c>
      <c r="E11" s="14" t="s">
        <v>377</v>
      </c>
      <c r="F11" s="14"/>
    </row>
    <row r="14" customFormat="false" ht="15" hidden="false" customHeight="false" outlineLevel="0" collapsed="false">
      <c r="A14" s="41"/>
      <c r="B14" s="42" t="s">
        <v>380</v>
      </c>
      <c r="C14" s="41"/>
      <c r="D14" s="41"/>
      <c r="E14" s="41"/>
      <c r="F14" s="41"/>
    </row>
    <row r="15" customFormat="false" ht="15" hidden="false" customHeight="false" outlineLevel="0" collapsed="false">
      <c r="B15" s="31" t="s">
        <v>381</v>
      </c>
    </row>
    <row r="16" customFormat="false" ht="15" hidden="false" customHeight="false" outlineLevel="0" collapsed="false">
      <c r="B16" s="31" t="s">
        <v>382</v>
      </c>
    </row>
    <row r="17" customFormat="false" ht="15" hidden="false" customHeight="false" outlineLevel="0" collapsed="false">
      <c r="B17" s="31" t="s">
        <v>383</v>
      </c>
    </row>
    <row r="18" customFormat="false" ht="15" hidden="false" customHeight="false" outlineLevel="0" collapsed="false">
      <c r="B18" s="31" t="s">
        <v>384</v>
      </c>
    </row>
    <row r="19" customFormat="false" ht="15" hidden="false" customHeight="false" outlineLevel="0" collapsed="false">
      <c r="B19" s="31" t="s">
        <v>385</v>
      </c>
    </row>
    <row r="20" customFormat="false" ht="15" hidden="false" customHeight="false" outlineLevel="0" collapsed="false">
      <c r="B20" s="31" t="s">
        <v>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2026-10-20T00:31:57Z</dcterms:created>
  <dc:creator>openpyxl</dc:creator>
  <dc:description/>
  <dc:language>en-US</dc:language>
  <cp:lastModifiedBy/>
  <dcterms:modified xsi:type="dcterms:W3CDTF">2026-10-20T00:31:57Z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